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_rels/drawing1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Project 1" sheetId="2" state="visible" r:id="rId4"/>
    <sheet name="Project 2" sheetId="3" state="visible" r:id="rId5"/>
    <sheet name="Project 3" sheetId="4" state="visible" r:id="rId6"/>
    <sheet name="Project 4" sheetId="5" state="visible" r:id="rId7"/>
    <sheet name="Project 5" sheetId="6" state="visible" r:id="rId8"/>
    <sheet name="Project 6" sheetId="7" state="visible" r:id="rId9"/>
    <sheet name="Project 7" sheetId="8" state="visible" r:id="rId10"/>
    <sheet name="Project 8" sheetId="9" state="visible" r:id="rId11"/>
    <sheet name="Project 9" sheetId="10" state="visible" r:id="rId12"/>
    <sheet name="Project 10" sheetId="11" state="visible" r:id="rId13"/>
    <sheet name="Project 11" sheetId="12" state="visible" r:id="rId14"/>
    <sheet name="Project 12" sheetId="13" state="visible" r:id="rId15"/>
    <sheet name="Project 13" sheetId="14" state="visible" r:id="rId16"/>
    <sheet name="Project 14" sheetId="15" state="visible" r:id="rId17"/>
  </sheets>
  <definedNames>
    <definedName function="false" hidden="true" localSheetId="1" name="_xlnm._FilterDatabase" vbProcedure="false">'Project 1'!$A$5:$S$5</definedName>
    <definedName function="false" hidden="true" localSheetId="10" name="_xlnm._FilterDatabase" vbProcedure="false">'Project 10'!$A$5:$S$5</definedName>
    <definedName function="false" hidden="true" localSheetId="11" name="_xlnm._FilterDatabase" vbProcedure="false">'Project 11'!$A$5:$S$5</definedName>
    <definedName function="false" hidden="true" localSheetId="12" name="_xlnm._FilterDatabase" vbProcedure="false">'Project 12'!$A$5:$S$5</definedName>
    <definedName function="false" hidden="true" localSheetId="13" name="_xlnm._FilterDatabase" vbProcedure="false">'Project 13'!$A$5:$S$5</definedName>
    <definedName function="false" hidden="true" localSheetId="14" name="_xlnm._FilterDatabase" vbProcedure="false">'Project 14'!$A$5:$S$5</definedName>
    <definedName function="false" hidden="true" localSheetId="2" name="_xlnm._FilterDatabase" vbProcedure="false">'Project 2'!$A$5:$S$5</definedName>
    <definedName function="false" hidden="true" localSheetId="3" name="_xlnm._FilterDatabase" vbProcedure="false">'Project 3'!$A$5:$S$5</definedName>
    <definedName function="false" hidden="true" localSheetId="4" name="_xlnm._FilterDatabase" vbProcedure="false">'Project 4'!$A$5:$S$5</definedName>
    <definedName function="false" hidden="true" localSheetId="5" name="_xlnm._FilterDatabase" vbProcedure="false">'Project 5'!$A$5:$S$5</definedName>
    <definedName function="false" hidden="true" localSheetId="6" name="_xlnm._FilterDatabase" vbProcedure="false">'Project 6'!$A$5:$S$5</definedName>
    <definedName function="false" hidden="true" localSheetId="7" name="_xlnm._FilterDatabase" vbProcedure="false">'Project 7'!$A$5:$S$5</definedName>
    <definedName function="false" hidden="true" localSheetId="8" name="_xlnm._FilterDatabase" vbProcedure="false">'Project 8'!$A$5:$S$5</definedName>
    <definedName function="false" hidden="true" localSheetId="9" name="_xlnm._FilterDatabase" vbProcedure="false">'Project 9'!$A$5:$S$5</definedName>
    <definedName function="false" hidden="false" name="TeamMembers" vbProcedure="false">Config!$N$6:$N$15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<sst xmlns="http://schemas.openxmlformats.org/spreadsheetml/2006/main" count="5528" uniqueCount="340">
  <si>
    <t xml:space="preserve">Migration Project Dashboard</t>
  </si>
  <si>
    <t xml:space="preserve">Enter project names, start dates, and speed. Add team members at right — they populate the Sign-Off dropdown on every project sheet.</t>
  </si>
  <si>
    <t xml:space="preserve">Early/On Time</t>
  </si>
  <si>
    <t xml:space="preserve">+1d late</t>
  </si>
  <si>
    <t xml:space="preserve">+2d</t>
  </si>
  <si>
    <t xml:space="preserve">+3d</t>
  </si>
  <si>
    <t xml:space="preserve">+4d</t>
  </si>
  <si>
    <t xml:space="preserve">+5d</t>
  </si>
  <si>
    <t xml:space="preserve">Status Complete gated via red highlights. Completed date is manual (static). Hours = |Completed - Target| × 24.</t>
  </si>
  <si>
    <t xml:space="preserve">Team Members</t>
  </si>
  <si>
    <t xml:space="preserve">#</t>
  </si>
  <si>
    <t xml:space="preserve">Project Name</t>
  </si>
  <si>
    <t xml:space="preserve">Start Date</t>
  </si>
  <si>
    <t xml:space="preserve">Speed</t>
  </si>
  <si>
    <t xml:space="preserve">Mult</t>
  </si>
  <si>
    <t xml:space="preserve">Target End</t>
  </si>
  <si>
    <t xml:space="preserve">Days</t>
  </si>
  <si>
    <t xml:space="preserve">% Complete</t>
  </si>
  <si>
    <t xml:space="preserve">Completed</t>
  </si>
  <si>
    <t xml:space="preserve">Avg Drift</t>
  </si>
  <si>
    <t xml:space="preserve">Status</t>
  </si>
  <si>
    <t xml:space="preserve">Sheet</t>
  </si>
  <si>
    <t xml:space="preserve">Name</t>
  </si>
  <si>
    <t xml:space="preserve">Role</t>
  </si>
  <si>
    <t xml:space="preserve">Project 1</t>
  </si>
  <si>
    <t xml:space="preserve">Project 2</t>
  </si>
  <si>
    <t xml:space="preserve">Project 3</t>
  </si>
  <si>
    <t xml:space="preserve">Project 4</t>
  </si>
  <si>
    <t xml:space="preserve">Project 5</t>
  </si>
  <si>
    <t xml:space="preserve">Project 6</t>
  </si>
  <si>
    <t xml:space="preserve">Project 7</t>
  </si>
  <si>
    <t xml:space="preserve">Project 8</t>
  </si>
  <si>
    <t xml:space="preserve">Project 9</t>
  </si>
  <si>
    <t xml:space="preserve">Project 10</t>
  </si>
  <si>
    <t xml:space="preserve">Project 11</t>
  </si>
  <si>
    <t xml:space="preserve">Project 12</t>
  </si>
  <si>
    <t xml:space="preserve">Project 13</t>
  </si>
  <si>
    <t xml:space="preserve">Project 14</t>
  </si>
  <si>
    <t xml:space="preserve">PORTFOLIO TOTALS</t>
  </si>
  <si>
    <t xml:space="preserve">Portfolio Progress — % Complete by Project</t>
  </si>
  <si>
    <t xml:space="preserve">Start Date:</t>
  </si>
  <si>
    <t xml:space="preserve">Speed:</t>
  </si>
  <si>
    <t xml:space="preserve">Mult:</t>
  </si>
  <si>
    <t xml:space="preserve">Target End:</t>
  </si>
  <si>
    <t xml:space="preserve">Days:</t>
  </si>
  <si>
    <t xml:space="preserve">Phase</t>
  </si>
  <si>
    <t xml:space="preserve">ID</t>
  </si>
  <si>
    <t xml:space="preserve">Task</t>
  </si>
  <si>
    <t xml:space="preserve">What Needs to Happen</t>
  </si>
  <si>
    <t xml:space="preserve">Owner</t>
  </si>
  <si>
    <t xml:space="preserve">Day</t>
  </si>
  <si>
    <t xml:space="preserve">Target Date</t>
  </si>
  <si>
    <t xml:space="preserve">Signed Off By</t>
  </si>
  <si>
    <t xml:space="preserve">Report Link</t>
  </si>
  <si>
    <t xml:space="preserve">Drift</t>
  </si>
  <si>
    <t xml:space="preserve">Hrs</t>
  </si>
  <si>
    <t xml:space="preserve">JIRA</t>
  </si>
  <si>
    <t xml:space="preserve">How We Know Its Done</t>
  </si>
  <si>
    <t xml:space="preserve">Rollback</t>
  </si>
  <si>
    <t xml:space="preserve">Notes</t>
  </si>
  <si>
    <t xml:space="preserve">1 — Discovery</t>
  </si>
  <si>
    <t xml:space="preserve">1.1</t>
  </si>
  <si>
    <t xml:space="preserve">Pull DNS Records</t>
  </si>
  <si>
    <t xml:space="preserve">Export all DNS records for the app domain — A, CNAME, MX, TXT, SRV, the works. Grab zone files from the provider. Document TTLs and anything pointing at a CDN or WAF.</t>
  </si>
  <si>
    <t xml:space="preserve">Migration Lead</t>
  </si>
  <si>
    <t xml:space="preserve">Full DNS export in the repo, second set of eyes confirmed it</t>
  </si>
  <si>
    <t xml:space="preserve">N/A — just docs</t>
  </si>
  <si>
    <t xml:space="preserve">Get TTLs, record types, CDN refs</t>
  </si>
  <si>
    <t xml:space="preserve">1.2</t>
  </si>
  <si>
    <t xml:space="preserve">Pull Current Certs</t>
  </si>
  <si>
    <t xml:space="preserve">Document every cert bound in IIS — subject, SANs, issuer, expiry, thumbprint. PowerShell: Get-ChildItem Cert:\LocalMachine\My</t>
  </si>
  <si>
    <t xml:space="preserve">Cert inventory with thumbprints, SANs, expiry confirmed</t>
  </si>
  <si>
    <t xml:space="preserve">Flag wildcards, intermediates, shared certs</t>
  </si>
  <si>
    <t xml:space="preserve">1.3</t>
  </si>
  <si>
    <t xml:space="preserve">Export IIS Bindings</t>
  </si>
  <si>
    <t xml:space="preserve">Dump all IIS site bindings — IP, port, hostname, cert assignment. Get-WebBinding or appcmd. Both HTTP and HTTPS.</t>
  </si>
  <si>
    <t xml:space="preserve">Binding export saved, mapped to DNS records and certs</t>
  </si>
  <si>
    <t xml:space="preserve">Watch for SNI, IP-specific bindings, weird ports</t>
  </si>
  <si>
    <t xml:space="preserve">1.4</t>
  </si>
  <si>
    <t xml:space="preserve">Map Application Dependencies</t>
  </si>
  <si>
    <t xml:space="preserve">Find every reference to the current domain — connection strings, API endpoints, OAuth redirect URIs, CORS policies, webhooks, hardcoded URLs. Check web.config, appsettings.json, registry, env vars, and anything external that calls back.</t>
  </si>
  <si>
    <t xml:space="preserve">Dependency matrix done, every old-domain ref catalogued with file path</t>
  </si>
  <si>
    <t xml:space="preserve">External services with callback URLs are the ones that bite you</t>
  </si>
  <si>
    <t xml:space="preserve">1.5</t>
  </si>
  <si>
    <t xml:space="preserve">Map SSO / IdP Configuration</t>
  </si>
  <si>
    <t xml:space="preserve">Document current SSO setup — identity provider, protocol (SAML/OIDC), client IDs, redirect URIs, metadata URLs, token endpoints, claim mappings, and any app registrations tied to the domain. If ADFS, pull the relying party trust config.</t>
  </si>
  <si>
    <t xml:space="preserve">SSO config fully documented — IdP settings, redirect URIs, client IDs, claim maps all captured</t>
  </si>
  <si>
    <t xml:space="preserve">Dont forget logout/post-logout redirect URIs, they always get missed</t>
  </si>
  <si>
    <t xml:space="preserve">1.6</t>
  </si>
  <si>
    <t xml:space="preserve">Confirm Static IPs</t>
  </si>
  <si>
    <t xml:space="preserve">Verify the VM and DB IPs are static, not DHCP. Document both. No IP change here.</t>
  </si>
  <si>
    <t xml:space="preserve">ipconfig /all saved, static confirmed for app and DB</t>
  </si>
  <si>
    <t xml:space="preserve">If DHCP, fix it before anything else</t>
  </si>
  <si>
    <t xml:space="preserve">1.7</t>
  </si>
  <si>
    <t xml:space="preserve">Check Firewall &amp; Network Rules</t>
  </si>
  <si>
    <t xml:space="preserve">Audit firewall rules, NSGs, LB configs for anything referencing the FQDN. Make sure nothing breaks with the new domain.</t>
  </si>
  <si>
    <t xml:space="preserve">Network Admin</t>
  </si>
  <si>
    <t xml:space="preserve">All rules reviewed, mitigation plan for any FQDN-dependent rules</t>
  </si>
  <si>
    <t xml:space="preserve">Some firewalls resolve DNS at rule creation, prefer IP rules</t>
  </si>
  <si>
    <t xml:space="preserve">1.8</t>
  </si>
  <si>
    <t xml:space="preserve">Get New Certs</t>
  </si>
  <si>
    <t xml:space="preserve">Request new certs for target domain from the CA. All required SANs included. Validate the chain is complete — root, intermediate, leaf.</t>
  </si>
  <si>
    <t xml:space="preserve">PFX in hand, chain validated via certutil, SANs match</t>
  </si>
  <si>
    <t xml:space="preserve">Can revert to old cert</t>
  </si>
  <si>
    <t xml:space="preserve">If ACME/Lets Encrypt, test issuance in lower env first</t>
  </si>
  <si>
    <t xml:space="preserve">1.9</t>
  </si>
  <si>
    <t xml:space="preserve">Write Rollback Plan</t>
  </si>
  <si>
    <t xml:space="preserve">Step-by-step rollback doc — DNS revert, old cert re-bind, IIS restore, config restore, comms plan. Pre-stage everything.</t>
  </si>
  <si>
    <t xml:space="preserve">Rollback plan reviewed and approved, all artifacts accessible</t>
  </si>
  <si>
    <t xml:space="preserve">N/A — this IS the rollback plan</t>
  </si>
  <si>
    <t xml:space="preserve">Pre-write the rollback PowerShell scripts</t>
  </si>
  <si>
    <t xml:space="preserve">1.10</t>
  </si>
  <si>
    <t xml:space="preserve">Schedule Maintenance Window</t>
  </si>
  <si>
    <t xml:space="preserve">Coordinate the migration window. Notify stakeholders, upstream/downstream system owners.</t>
  </si>
  <si>
    <t xml:space="preserve">PM</t>
  </si>
  <si>
    <t xml:space="preserve">Calendar invites sent, window approved, everyone acknowledged</t>
  </si>
  <si>
    <t xml:space="preserve">N/A</t>
  </si>
  <si>
    <t xml:space="preserve">Time zones, business hours, SLA stuff</t>
  </si>
  <si>
    <t xml:space="preserve">2 — Backups</t>
  </si>
  <si>
    <t xml:space="preserve">2.1</t>
  </si>
  <si>
    <t xml:space="preserve">Backup IIS Config</t>
  </si>
  <si>
    <t xml:space="preserve">appcmd add backup. Grab applicationHost.config and all web.configs.</t>
  </si>
  <si>
    <t xml:space="preserve">Backup verified via dry-run restore, in the repo</t>
  </si>
  <si>
    <t xml:space="preserve">Restore IIS from backup</t>
  </si>
  <si>
    <t xml:space="preserve">appcmd add backup 'PreMigration'</t>
  </si>
  <si>
    <t xml:space="preserve">2.2</t>
  </si>
  <si>
    <t xml:space="preserve">Export Certs as PFX</t>
  </si>
  <si>
    <t xml:space="preserve">Export all relevant certs with private keys as PFX. Store securely, document the passwords separately.</t>
  </si>
  <si>
    <t xml:space="preserve">PFX files verified importable on test system, in the vault</t>
  </si>
  <si>
    <t xml:space="preserve">Re-import old certs from PFX</t>
  </si>
  <si>
    <t xml:space="preserve">Export-PfxCertificate with a strong password</t>
  </si>
  <si>
    <t xml:space="preserve">2.3</t>
  </si>
  <si>
    <t xml:space="preserve">Backup App Config</t>
  </si>
  <si>
    <t xml:space="preserve">Copy web.config, appsettings.json, env vars, registry keys. Everything.</t>
  </si>
  <si>
    <t xml:space="preserve">Config backup diffed against live, stored in repo</t>
  </si>
  <si>
    <t xml:space="preserve">Restore configs from backup</t>
  </si>
  <si>
    <t xml:space="preserve">Include transform files</t>
  </si>
  <si>
    <t xml:space="preserve">2.4</t>
  </si>
  <si>
    <t xml:space="preserve">Backup DNS Records</t>
  </si>
  <si>
    <t xml:space="preserve">Export or screenshot DNS records from the provider. Zone file if available.</t>
  </si>
  <si>
    <t xml:space="preserve">Zone file saved and readable</t>
  </si>
  <si>
    <t xml:space="preserve">Revert DNS from backup</t>
  </si>
  <si>
    <t xml:space="preserve">Some providers support zone import for quick rollback</t>
  </si>
  <si>
    <t xml:space="preserve">2.5</t>
  </si>
  <si>
    <t xml:space="preserve">Export SSO / IdP Configuration</t>
  </si>
  <si>
    <t xml:space="preserve">Export the current IdP app registration, relying party trust, or OIDC client config. Screenshot or export the claim mappings, redirect URIs, and any conditional access policies tied to this app.</t>
  </si>
  <si>
    <t xml:space="preserve">SSO config export saved alongside other backups, verified re-importable</t>
  </si>
  <si>
    <t xml:space="preserve">Restore IdP config from export</t>
  </si>
  <si>
    <t xml:space="preserve">Azure AD: export app manifest JSON. ADFS: export relying party trust XML</t>
  </si>
  <si>
    <t xml:space="preserve">2.6</t>
  </si>
  <si>
    <t xml:space="preserve">VM Snapshot</t>
  </si>
  <si>
    <t xml:space="preserve">Hypervisor snapshot of the VM. Verify its valid.</t>
  </si>
  <si>
    <t xml:space="preserve">Infra Admin</t>
  </si>
  <si>
    <t xml:space="preserve">Snapshot in hypervisor, revert function confirmed</t>
  </si>
  <si>
    <t xml:space="preserve">Revert entire VM to snapshot</t>
  </si>
  <si>
    <t xml:space="preserve">Nuclear option — make sure theres disk space</t>
  </si>
  <si>
    <t xml:space="preserve">3 — Cutover</t>
  </si>
  <si>
    <t xml:space="preserve">3.1</t>
  </si>
  <si>
    <t xml:space="preserve">Import New Cert</t>
  </si>
  <si>
    <t xml:space="preserve">Import PFX into Local Machine Personal store. Full chain — intermediate + root if needed.</t>
  </si>
  <si>
    <t xml:space="preserve">Cert visible in certlm.msc, chain shows OK</t>
  </si>
  <si>
    <t xml:space="preserve">Remove new cert, old binding stays</t>
  </si>
  <si>
    <t xml:space="preserve">Import-PfxCertificate -CertStoreLocation Cert:\LocalMachine\My</t>
  </si>
  <si>
    <t xml:space="preserve">3.2</t>
  </si>
  <si>
    <t xml:space="preserve">Verify Cert Chain</t>
  </si>
  <si>
    <t xml:space="preserve">Make sure the full chain is trusted. Intermediates and root in the right stores.</t>
  </si>
  <si>
    <t xml:space="preserve">certutil -verify -urlfetch passes clean</t>
  </si>
  <si>
    <t xml:space="preserve">Install missing chain certs</t>
  </si>
  <si>
    <t xml:space="preserve">3.3</t>
  </si>
  <si>
    <t xml:space="preserve">Update IIS Bindings</t>
  </si>
  <si>
    <t xml:space="preserve">Swap the HTTPS binding to the new cert and new hostname. Same IP, same port. SNI if applicable.</t>
  </si>
  <si>
    <t xml:space="preserve">Get-WebBinding shows new cert + hostname, netsh confirms</t>
  </si>
  <si>
    <t xml:space="preserve">Revert binding from backup 2.1</t>
  </si>
  <si>
    <t xml:space="preserve">Set-WebBinding + netsh http add sslcert</t>
  </si>
  <si>
    <t xml:space="preserve">3.4</t>
  </si>
  <si>
    <t xml:space="preserve">Update App Config</t>
  </si>
  <si>
    <t xml:space="preserve">Flip all config files to the new domain — base URLs, CORS origins, OAuth redirects, cookie domains, absolute URLs.</t>
  </si>
  <si>
    <t xml:space="preserve">Config diff shows only expected changes, findstr confirms no old domain refs</t>
  </si>
  <si>
    <t xml:space="preserve">Restore from backup 2.3</t>
  </si>
  <si>
    <t xml:space="preserve">grep/findstr for old domain across everything to verify</t>
  </si>
  <si>
    <t xml:space="preserve">3.5</t>
  </si>
  <si>
    <t xml:space="preserve">Update SSO / IdP Registration</t>
  </si>
  <si>
    <t xml:space="preserve">Update the identity provider app registration with new redirect URIs, post-logout URIs, and identifier URIs for the new domain. Update SAML metadata endpoint if applicable.</t>
  </si>
  <si>
    <t xml:space="preserve">IdP shows correct new-domain URIs, metadata endpoint resolves, no old domain refs</t>
  </si>
  <si>
    <t xml:space="preserve">Revert IdP config from backup 2.5</t>
  </si>
  <si>
    <t xml:space="preserve">Azure AD: update redirect URIs. ADFS: update relying party trust. Okta: update app integration URIs</t>
  </si>
  <si>
    <t xml:space="preserve">3.6</t>
  </si>
  <si>
    <t xml:space="preserve">Update App SSO Config</t>
  </si>
  <si>
    <t xml:space="preserve">Update the applications SSO config to match — client metadata URL, authority/issuer, SAML assertion consumer service URL, OIDC redirect URI in web.config or appsettings. Token validation audience needs to match.</t>
  </si>
  <si>
    <t xml:space="preserve">App SSO config points to correct IdP endpoints with new domain URIs, token audience matches</t>
  </si>
  <si>
    <t xml:space="preserve">Restore app config from backup 2.3</t>
  </si>
  <si>
    <t xml:space="preserve">Easy to miss the WS-Federation wtrealm or SAML entityID</t>
  </si>
  <si>
    <t xml:space="preserve">3.7</t>
  </si>
  <si>
    <t xml:space="preserve">Update DNS</t>
  </si>
  <si>
    <t xml:space="preserve">Point the new domain at the VMs IP. Short TTL (60-300s) in lower env, or pre-lowered in prod.</t>
  </si>
  <si>
    <t xml:space="preserve">nslookup resolves new domain to correct IP</t>
  </si>
  <si>
    <t xml:space="preserve">Revert DNS from backup 2.4</t>
  </si>
  <si>
    <t xml:space="preserve">Prod: lower TTL 24-48hrs ahead (see 5.1)</t>
  </si>
  <si>
    <t xml:space="preserve">3.8</t>
  </si>
  <si>
    <t xml:space="preserve">Restart IIS</t>
  </si>
  <si>
    <t xml:space="preserve">iisreset, recycle the app pool. Pick up all changes cleanly.</t>
  </si>
  <si>
    <t xml:space="preserve">Site running, app pool started, Event Viewer clean</t>
  </si>
  <si>
    <t xml:space="preserve">N/A — non-destructive</t>
  </si>
  <si>
    <t xml:space="preserve">Brief downtime during iisreset</t>
  </si>
  <si>
    <t xml:space="preserve">3.9</t>
  </si>
  <si>
    <t xml:space="preserve">Verify DNS Propagation</t>
  </si>
  <si>
    <t xml:space="preserve">Check propagation across multiple resolvers. Dont move on until its solid.</t>
  </si>
  <si>
    <t xml:space="preserve">Resolves from 3+ external resolvers and 2+ regions</t>
  </si>
  <si>
    <t xml:space="preserve">Wait or investigate cached TTL</t>
  </si>
  <si>
    <t xml:space="preserve">nslookup 8.8.8.8, 1.1.1.1, whatsmydns.net</t>
  </si>
  <si>
    <t xml:space="preserve">4 — Testing</t>
  </si>
  <si>
    <t xml:space="preserve">4.1</t>
  </si>
  <si>
    <t xml:space="preserve">Run Test Scripts</t>
  </si>
  <si>
    <t xml:space="preserve">Execute the full test suite — HTTPS/cert, redirects, auth flow including SSO login + 2FA, CRUD, DB connectivity, APIs, webhooks, email links, perf baseline, security scan.</t>
  </si>
  <si>
    <t xml:space="preserve">QA Lead</t>
  </si>
  <si>
    <t xml:space="preserve">All scripts executed, results recorded, pass/fail documented per script</t>
  </si>
  <si>
    <t xml:space="preserve">Log failures, categorize migration vs pre-existing</t>
  </si>
  <si>
    <t xml:space="preserve">Update JIRA and this sheet with results</t>
  </si>
  <si>
    <t xml:space="preserve">4.2</t>
  </si>
  <si>
    <t xml:space="preserve">SSO End-to-End Validation</t>
  </si>
  <si>
    <t xml:space="preserve">Test the full SSO flow — IdP-initiated and SP-initiated login, token validation, claim mapping, group/role assignment, logout + single logout, session timeout, conditional access.</t>
  </si>
  <si>
    <t xml:space="preserve">SSO works both directions, claims correct, logout cleans sessions, no old domain in any redirect</t>
  </si>
  <si>
    <t xml:space="preserve">Check IdP logs for failed assertions or redirect mismatches</t>
  </si>
  <si>
    <t xml:space="preserve">Hit IdP login directly AND from the app, both need to work</t>
  </si>
  <si>
    <t xml:space="preserve">4.3</t>
  </si>
  <si>
    <t xml:space="preserve">Triage &amp; Fix</t>
  </si>
  <si>
    <t xml:space="preserve">Review all failures. Migration-caused vs pre-existing. Fix whats ours, re-run the failed tests.</t>
  </si>
  <si>
    <t xml:space="preserve">All migration defects fixed, re-runs pass, pre-existing issues documented</t>
  </si>
  <si>
    <t xml:space="preserve">If unfixable, assess rollback</t>
  </si>
  <si>
    <t xml:space="preserve">Pull in app team for code-level fixes if needed</t>
  </si>
  <si>
    <t xml:space="preserve">4.4</t>
  </si>
  <si>
    <t xml:space="preserve">Update JIRA &amp; This Sheet</t>
  </si>
  <si>
    <t xml:space="preserve">Get JIRA current with test results, defect resolutions, evidence. Update Status column here for every task.</t>
  </si>
  <si>
    <t xml:space="preserve">JIRA tickets current, this sheet reflects actual status, evidence attached</t>
  </si>
  <si>
    <t xml:space="preserve">Screenshots, logs, test exports attached to tickets</t>
  </si>
  <si>
    <t xml:space="preserve">4.5</t>
  </si>
  <si>
    <t xml:space="preserve">Sign-Off</t>
  </si>
  <si>
    <t xml:space="preserve">Collect results. Get formal sign-off from QA, app owner, stakeholders.</t>
  </si>
  <si>
    <t xml:space="preserve">Written sign-off, all critical/high defects resolved, accepted risks documented</t>
  </si>
  <si>
    <t xml:space="preserve">Dont proceed, fix outstanding issues</t>
  </si>
  <si>
    <t xml:space="preserve">5 — Pre-Prod Prep</t>
  </si>
  <si>
    <t xml:space="preserve">5.1</t>
  </si>
  <si>
    <t xml:space="preserve">Lower Prod DNS TTL (24-48hrs Early)</t>
  </si>
  <si>
    <t xml:space="preserve">Drop TTL on the existing prod DNS record to 60-300s. At least 24-48hrs before the migration window.</t>
  </si>
  <si>
    <t xml:space="preserve">dig shows reduced TTL, waited 2x old TTL</t>
  </si>
  <si>
    <t xml:space="preserve">Raise TTL back</t>
  </si>
  <si>
    <t xml:space="preserve">This MUST happen in advance, not day-of</t>
  </si>
  <si>
    <t xml:space="preserve">5.2</t>
  </si>
  <si>
    <t xml:space="preserve">Confirm Window Is Active</t>
  </si>
  <si>
    <t xml:space="preserve">Verify the maintenance window is live. Final notification to stakeholders. On-call confirmed.</t>
  </si>
  <si>
    <t xml:space="preserve">Notification sent, status page updated, on-call team confirmed</t>
  </si>
  <si>
    <t xml:space="preserve">Cancel window, send all-clear</t>
  </si>
  <si>
    <t xml:space="preserve">5.3</t>
  </si>
  <si>
    <t xml:space="preserve">Prod VM Snapshot</t>
  </si>
  <si>
    <t xml:space="preserve">Snapshot immediately before touching anything.</t>
  </si>
  <si>
    <t xml:space="preserve">Snapshot verified in hypervisor</t>
  </si>
  <si>
    <t xml:space="preserve">Revert to snapshot</t>
  </si>
  <si>
    <t xml:space="preserve">Check disk space first</t>
  </si>
  <si>
    <t xml:space="preserve">5.4</t>
  </si>
  <si>
    <t xml:space="preserve">Backup Prod IIS, Certs, SSO &amp; Config</t>
  </si>
  <si>
    <t xml:space="preserve">Repeat Phase 2 backup steps on production.</t>
  </si>
  <si>
    <t xml:space="preserve">All backups created, verified, labelled with timestamp</t>
  </si>
  <si>
    <t xml:space="preserve">Restore from these backups</t>
  </si>
  <si>
    <t xml:space="preserve">6 — Prod Cutover</t>
  </si>
  <si>
    <t xml:space="preserve">6.1</t>
  </si>
  <si>
    <t xml:space="preserve">Execute Phase 3 on Production</t>
  </si>
  <si>
    <t xml:space="preserve">Run steps 3.1 through 3.9 on the prod VM. Exact same procedures validated in testing. No freelancing.</t>
  </si>
  <si>
    <t xml:space="preserve">Cert, bindings, app config, SSO config, DNS all updated, IIS restarted, propagation confirmed</t>
  </si>
  <si>
    <t xml:space="preserve">Revert per rollback plan 1.9</t>
  </si>
  <si>
    <t xml:space="preserve">Follow the validated playbook exactly</t>
  </si>
  <si>
    <t xml:space="preserve">7 — Prod Smoke</t>
  </si>
  <si>
    <t xml:space="preserve">7.1</t>
  </si>
  <si>
    <t xml:space="preserve">Run Smoke Scripts on Prod</t>
  </si>
  <si>
    <t xml:space="preserve">Smoke test subset against prod — HTTPS, redirects, SSO login (IdP and SP initiated), critical reads, critical writes, top APIs, external integrations, monitoring.</t>
  </si>
  <si>
    <t xml:space="preserve">All smoke scripts pass, results in JIRA and this sheet</t>
  </si>
  <si>
    <t xml:space="preserve">Log failures, assess rollback severity</t>
  </si>
  <si>
    <t xml:space="preserve">External network, multiple browsers, at least one mobile</t>
  </si>
  <si>
    <t xml:space="preserve">7.2</t>
  </si>
  <si>
    <t xml:space="preserve">Smoke Defect Triage</t>
  </si>
  <si>
    <t xml:space="preserve">Review failures. Fix immediately or pull the trigger on rollback.</t>
  </si>
  <si>
    <t xml:space="preserve">All failures triaged, fixes applied or rollback initiated</t>
  </si>
  <si>
    <t xml:space="preserve">Execute rollback plan 1.9</t>
  </si>
  <si>
    <t xml:space="preserve">Everyone on the call for this</t>
  </si>
  <si>
    <t xml:space="preserve">7.3</t>
  </si>
  <si>
    <t xml:space="preserve">Go / No-Go</t>
  </si>
  <si>
    <t xml:space="preserve">Formal decision — keep it live or roll back.</t>
  </si>
  <si>
    <t xml:space="preserve">Decision documented, stakeholders signed off</t>
  </si>
  <si>
    <t xml:space="preserve">Full rollback if no-go</t>
  </si>
  <si>
    <t xml:space="preserve">8 — Hardening</t>
  </si>
  <si>
    <t xml:space="preserve">8.1</t>
  </si>
  <si>
    <t xml:space="preserve">Raise DNS TTL</t>
  </si>
  <si>
    <t xml:space="preserve">Restore TTL to production normal (3600-86400s).</t>
  </si>
  <si>
    <t xml:space="preserve">dig shows production TTL</t>
  </si>
  <si>
    <t xml:space="preserve">Lower again if issues pop up</t>
  </si>
  <si>
    <t xml:space="preserve">Wait 2-4hrs stable first</t>
  </si>
  <si>
    <t xml:space="preserve">8.2</t>
  </si>
  <si>
    <t xml:space="preserve">Old Domain Redirect</t>
  </si>
  <si>
    <t xml:space="preserve">If old domain stays alive temporarily, set up 301 to new domain. Set an expiration date.</t>
  </si>
  <si>
    <t xml:space="preserve">Old domain 301s to new domain for all paths</t>
  </si>
  <si>
    <t xml:space="preserve">Remove redirect if causing issues</t>
  </si>
  <si>
    <t xml:space="preserve">Plan the sunset date</t>
  </si>
  <si>
    <t xml:space="preserve">8.3</t>
  </si>
  <si>
    <t xml:space="preserve">Update External Refs</t>
  </si>
  <si>
    <t xml:space="preserve">Update everything pointing at the old domain — search consoles, socials, partner configs, docs, email signatures, IdP metadata URLs if published externally.</t>
  </si>
  <si>
    <t xml:space="preserve">Tracking sheet complete, all external refs updated</t>
  </si>
  <si>
    <t xml:space="preserve">N/A — informational</t>
  </si>
  <si>
    <t xml:space="preserve">Can take days/weeks, prioritize technical integrations first</t>
  </si>
  <si>
    <t xml:space="preserve">8.4</t>
  </si>
  <si>
    <t xml:space="preserve">Decommission Old SSO Entries</t>
  </si>
  <si>
    <t xml:space="preserve">After stabilization, remove or disable the old domain app registration / relying party trust from the IdP. Dont leave stale SSO configs.</t>
  </si>
  <si>
    <t xml:space="preserve">Old domain SSO entries disabled/removed, no impact to live app</t>
  </si>
  <si>
    <t xml:space="preserve">Re-enable old IdP config if needed</t>
  </si>
  <si>
    <t xml:space="preserve">Wait until confident before killing the old one</t>
  </si>
  <si>
    <t xml:space="preserve">8.5</t>
  </si>
  <si>
    <t xml:space="preserve">Full Regression on Prod (24-48hrs Out)</t>
  </si>
  <si>
    <t xml:space="preserve">After 24-48hrs stable, run the full suite. Catch anything the smoke test missed — scheduled tasks, batch jobs, overnight processes.</t>
  </si>
  <si>
    <t xml:space="preserve">Full regression passes, comparable to pre-migration baseline</t>
  </si>
  <si>
    <t xml:space="preserve">Log defects, assess if migration-related</t>
  </si>
  <si>
    <t xml:space="preserve">This catches the stuff that only runs at 2am</t>
  </si>
  <si>
    <t xml:space="preserve">8.6</t>
  </si>
  <si>
    <t xml:space="preserve">Remove Old Cert &amp; Snapshot</t>
  </si>
  <si>
    <t xml:space="preserve">After stabilization (7-30 days), pull the old cert from the store and delete the VM snapshot.</t>
  </si>
  <si>
    <t xml:space="preserve">Old cert gone, snapshot gone, app still running fine</t>
  </si>
  <si>
    <t xml:space="preserve">Re-import old cert from PFX</t>
  </si>
  <si>
    <t xml:space="preserve">Snapshots degrade VM perf, dont keep them forever</t>
  </si>
  <si>
    <t xml:space="preserve">8.7</t>
  </si>
  <si>
    <t xml:space="preserve">Write Completion Report</t>
  </si>
  <si>
    <t xml:space="preserve">Migration report — what changed, test results, issues hit, resolutions, final config state, lessons learned.</t>
  </si>
  <si>
    <t xml:space="preserve">Report distributed, in the repo</t>
  </si>
  <si>
    <t xml:space="preserve">Include old-to-new mapping for future reference</t>
  </si>
  <si>
    <t xml:space="preserve">8.8</t>
  </si>
  <si>
    <t xml:space="preserve">Close It Out</t>
  </si>
  <si>
    <t xml:space="preserve">Final notification to stakeholders. Status page updated. Change ticket closed.</t>
  </si>
  <si>
    <t xml:space="preserve">Everyone notified, ticket closed</t>
  </si>
  <si>
    <t xml:space="preserve">Note any in-progress items like external ref updates</t>
  </si>
  <si>
    <t xml:space="preserve">TOTALS</t>
  </si>
  <si>
    <t xml:space="preserve">Overall:</t>
  </si>
  <si>
    <t xml:space="preserve">Completed:</t>
  </si>
  <si>
    <t xml:space="preserve">Avg Drift:</t>
  </si>
  <si>
    <t xml:space="preserve">Max Drift: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</si>
</sst>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0.0\x"/>
    <numFmt numFmtId="167" formatCode="0"/>
    <numFmt numFmtId="168" formatCode="0%"/>
    <numFmt numFmtId="169" formatCode="General"/>
    <numFmt numFmtId="170" formatCode="0.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A4A4A"/>
      <name val="Arial"/>
      <family val="0"/>
      <charset val="1"/>
    </font>
    <font>
      <b val="true"/>
      <sz val="8"/>
      <color rgb="FF1A1A1A"/>
      <name val="Arial"/>
      <family val="0"/>
      <charset val="1"/>
    </font>
    <font>
      <i val="true"/>
      <sz val="8"/>
      <color rgb="FFAAAAA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311B92"/>
      <name val="Arial"/>
      <family val="0"/>
      <charset val="1"/>
    </font>
    <font>
      <u val="single"/>
      <sz val="9"/>
      <color rgb="FF0D47A1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C8E6C9"/>
      <name val="Arial"/>
      <family val="0"/>
      <charset val="1"/>
    </font>
    <font>
      <b val="true"/>
      <sz val="10"/>
      <color rgb="FFFFE0B2"/>
      <name val="Arial"/>
      <family val="0"/>
      <charset val="1"/>
    </font>
    <font>
      <b val="true"/>
      <sz val="10"/>
      <color rgb="FFBBDEFB"/>
      <name val="Arial"/>
      <family val="0"/>
      <charset val="1"/>
    </font>
    <font>
      <b val="true"/>
      <sz val="10"/>
      <color rgb="FFB39DDB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1B5E20"/>
      <name val="Arial"/>
      <family val="0"/>
      <charset val="1"/>
    </font>
    <font>
      <sz val="9"/>
      <color rgb="FFE65100"/>
      <name val="Arial"/>
      <family val="0"/>
      <charset val="1"/>
    </font>
    <font>
      <b val="true"/>
      <sz val="9"/>
      <color rgb="FF311B92"/>
      <name val="Arial"/>
      <family val="0"/>
      <charset val="1"/>
    </font>
    <font>
      <b val="true"/>
      <sz val="9"/>
      <name val="Arial"/>
      <family val="0"/>
      <charset val="1"/>
    </font>
    <font>
      <sz val="8"/>
      <color rgb="FF4A4A4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2E5E8E"/>
      <name val="Arial"/>
      <family val="0"/>
      <charset val="1"/>
    </font>
    <font>
      <b val="true"/>
      <sz val="10"/>
      <color rgb="FFC62828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B2A4A"/>
        <bgColor rgb="FF2C3E50"/>
      </patternFill>
    </fill>
    <fill>
      <patternFill patternType="solid">
        <fgColor rgb="FFF0F4F8"/>
        <bgColor rgb="FFF5F5F5"/>
      </patternFill>
    </fill>
    <fill>
      <patternFill patternType="solid">
        <fgColor rgb="FFC8E6C9"/>
        <bgColor rgb="FFD9D9D9"/>
      </patternFill>
    </fill>
    <fill>
      <patternFill patternType="solid">
        <fgColor rgb="FFFFEBEE"/>
        <bgColor rgb="FFFFF3E0"/>
      </patternFill>
    </fill>
    <fill>
      <patternFill patternType="solid">
        <fgColor rgb="FFFFCDD2"/>
        <bgColor rgb="FFFFE0B2"/>
      </patternFill>
    </fill>
    <fill>
      <patternFill patternType="solid">
        <fgColor rgb="FFEF9A9A"/>
        <bgColor rgb="FFB39DDB"/>
      </patternFill>
    </fill>
    <fill>
      <patternFill patternType="solid">
        <fgColor rgb="FF2C3E50"/>
        <bgColor rgb="FF34495E"/>
      </patternFill>
    </fill>
    <fill>
      <patternFill patternType="solid">
        <fgColor rgb="FF2E7D32"/>
        <bgColor rgb="FF388E3C"/>
      </patternFill>
    </fill>
    <fill>
      <patternFill patternType="solid">
        <fgColor rgb="FF34495E"/>
        <bgColor rgb="FF2C3E50"/>
      </patternFill>
    </fill>
    <fill>
      <patternFill patternType="solid">
        <fgColor rgb="FF388E3C"/>
        <bgColor rgb="FF2E7D32"/>
      </patternFill>
    </fill>
    <fill>
      <patternFill patternType="solid">
        <fgColor rgb="FFF5F5F5"/>
        <bgColor rgb="FFF0F4F8"/>
      </patternFill>
    </fill>
    <fill>
      <patternFill patternType="solid">
        <fgColor rgb="FFFFF9E6"/>
        <bgColor rgb="FFFFF8E1"/>
      </patternFill>
    </fill>
    <fill>
      <patternFill patternType="solid">
        <fgColor rgb="FFE8F5E9"/>
        <bgColor rgb="FFF0F4F8"/>
      </patternFill>
    </fill>
    <fill>
      <patternFill patternType="solid">
        <fgColor rgb="FFFFFFFF"/>
        <bgColor rgb="FFFFF9E6"/>
      </patternFill>
    </fill>
    <fill>
      <patternFill patternType="solid">
        <fgColor rgb="FF2E5E8E"/>
        <bgColor rgb="FF34495E"/>
      </patternFill>
    </fill>
    <fill>
      <patternFill patternType="solid">
        <fgColor rgb="FF1B5E20"/>
        <bgColor rgb="FF2E7D32"/>
      </patternFill>
    </fill>
    <fill>
      <patternFill patternType="solid">
        <fgColor rgb="FFE65100"/>
        <bgColor rgb="FFE74C3C"/>
      </patternFill>
    </fill>
    <fill>
      <patternFill patternType="solid">
        <fgColor rgb="FF0D47A1"/>
        <bgColor rgb="FF2E5E8E"/>
      </patternFill>
    </fill>
    <fill>
      <patternFill patternType="solid">
        <fgColor rgb="FF311B92"/>
        <bgColor rgb="FF1B2A4A"/>
      </patternFill>
    </fill>
    <fill>
      <patternFill patternType="solid">
        <fgColor rgb="FFD6E4F0"/>
        <bgColor rgb="FFE8EAF6"/>
      </patternFill>
    </fill>
    <fill>
      <patternFill patternType="solid">
        <fgColor rgb="FFE8EAF6"/>
        <bgColor rgb="FFE3F2FD"/>
      </patternFill>
    </fill>
    <fill>
      <patternFill patternType="solid">
        <fgColor rgb="FFFFF3E0"/>
        <bgColor rgb="FFFFF8E1"/>
      </patternFill>
    </fill>
    <fill>
      <patternFill patternType="solid">
        <fgColor rgb="FFE3F2FD"/>
        <bgColor rgb="FFE8EAF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E6C300"/>
      </left>
      <right style="medium">
        <color rgb="FFE6C300"/>
      </right>
      <top style="medium">
        <color rgb="FFE6C300"/>
      </top>
      <bottom style="medium">
        <color rgb="FFE6C300"/>
      </bottom>
      <diagonal/>
    </border>
    <border diagonalUp="false" diagonalDown="false">
      <left style="medium">
        <color rgb="FF4CAF50"/>
      </left>
      <right style="medium">
        <color rgb="FF4CAF50"/>
      </right>
      <top style="medium">
        <color rgb="FF4CAF50"/>
      </top>
      <bottom style="medium">
        <color rgb="FF4CAF50"/>
      </bottom>
      <diagonal/>
    </border>
    <border diagonalUp="false" diagonalDown="false">
      <left style="thin">
        <color rgb="FF9FA8DA"/>
      </left>
      <right style="thin">
        <color rgb="FF9FA8DA"/>
      </right>
      <top style="thin">
        <color rgb="FF9FA8DA"/>
      </top>
      <bottom style="thin">
        <color rgb="FF9FA8DA"/>
      </bottom>
      <diagonal/>
    </border>
    <border diagonalUp="false" diagonalDown="false">
      <left style="medium">
        <color rgb="FFFF9800"/>
      </left>
      <right style="medium">
        <color rgb="FFFF9800"/>
      </right>
      <top style="medium">
        <color rgb="FFFF9800"/>
      </top>
      <bottom style="medium">
        <color rgb="FFFF9800"/>
      </bottom>
      <diagonal/>
    </border>
    <border diagonalUp="false" diagonalDown="false">
      <left style="medium">
        <color rgb="FF64B5F6"/>
      </left>
      <right style="medium">
        <color rgb="FF64B5F6"/>
      </right>
      <top style="medium">
        <color rgb="FF64B5F6"/>
      </top>
      <bottom style="medium">
        <color rgb="FF64B5F6"/>
      </bottom>
      <diagonal/>
    </border>
    <border diagonalUp="false" diagonalDown="false">
      <left style="medium">
        <color rgb="FF5C6BC0"/>
      </left>
      <right style="medium">
        <color rgb="FF5C6BC0"/>
      </right>
      <top style="medium">
        <color rgb="FF5C6BC0"/>
      </top>
      <bottom style="medium">
        <color rgb="FF5C6B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4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9" fillId="2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1" fillId="2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2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3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3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ont>
        <b val="1"/>
        <color rgb="FF27AE60"/>
      </font>
      <fill>
        <patternFill>
          <bgColor rgb="FFE8F5E9"/>
        </patternFill>
      </fill>
    </dxf>
    <dxf>
      <font>
        <b val="1"/>
        <color rgb="FFE74C3C"/>
      </font>
      <fill>
        <patternFill>
          <bgColor rgb="FFFFEBEE"/>
        </patternFill>
      </fill>
    </dxf>
    <dxf>
      <font>
        <b val="1"/>
        <color rgb="FFF39C12"/>
      </font>
      <fill>
        <patternFill>
          <bgColor rgb="FFFFF8E1"/>
        </patternFill>
      </fill>
    </dxf>
    <dxf>
      <fill>
        <patternFill patternType="solid">
          <fgColor rgb="FF34495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5E8E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0D47A1"/>
          <bgColor rgb="FF000000"/>
        </patternFill>
      </fill>
    </dxf>
    <dxf>
      <fill>
        <patternFill patternType="solid">
          <fgColor rgb="FFBBDEFB"/>
          <bgColor rgb="FF000000"/>
        </patternFill>
      </fill>
    </dxf>
    <dxf>
      <fill>
        <patternFill patternType="solid">
          <fgColor rgb="FF311B92"/>
          <bgColor rgb="FF000000"/>
        </patternFill>
      </fill>
    </dxf>
    <dxf>
      <fill>
        <patternFill patternType="solid">
          <fgColor rgb="FFB39DDB"/>
          <bgColor rgb="FF000000"/>
        </patternFill>
      </fill>
    </dxf>
    <dxf>
      <font>
        <b val="1"/>
        <color rgb="FF1B5E20"/>
      </font>
      <fill>
        <patternFill>
          <bgColor rgb="FFC8E6C9"/>
        </patternFill>
      </fill>
    </dxf>
    <dxf>
      <font>
        <b val="1"/>
        <color rgb="FFF57F17"/>
      </font>
      <fill>
        <patternFill>
          <bgColor rgb="FFFFF9C4"/>
        </patternFill>
      </fill>
    </dxf>
    <dxf>
      <font>
        <b val="1"/>
        <color rgb="FFE65100"/>
      </font>
      <fill>
        <patternFill>
          <bgColor rgb="FFFFF3E0"/>
        </patternFill>
      </fill>
    </dxf>
    <dxf>
      <font>
        <b val="1"/>
        <i val="1"/>
        <color rgb="FFB71C1C"/>
      </font>
      <fill>
        <patternFill>
          <bgColor rgb="FFFFCDD2"/>
        </patternFill>
      </fill>
    </dxf>
    <dxf>
      <font>
        <i val="1"/>
        <color rgb="FFE65100"/>
      </font>
      <fill>
        <patternFill>
          <bgColor rgb="FFFFF3E0"/>
        </patternFill>
      </fill>
    </dxf>
    <dxf>
      <font>
        <name val="Arial"/>
        <charset val="1"/>
        <family val="0"/>
        <color rgb="FF1A1A1A"/>
        <sz val="9"/>
      </font>
      <fill>
        <patternFill>
          <bgColor rgb="FFEF9A9A"/>
        </patternFill>
      </fill>
    </dxf>
    <dxf>
      <font>
        <name val="Arial"/>
        <charset val="1"/>
        <family val="0"/>
        <color rgb="FF1A1A1A"/>
        <sz val="9"/>
      </font>
      <fill>
        <patternFill>
          <bgColor rgb="FFFFCDD2"/>
        </patternFill>
      </fill>
    </dxf>
    <dxf>
      <font>
        <name val="Arial"/>
        <charset val="1"/>
        <family val="0"/>
        <color rgb="FF1A1A1A"/>
        <sz val="9"/>
      </font>
      <fill>
        <patternFill>
          <bgColor rgb="FFFFEBEE"/>
        </patternFill>
      </fill>
    </dxf>
    <dxf>
      <font>
        <name val="Arial"/>
        <charset val="1"/>
        <family val="0"/>
        <color rgb="FF1B5E20"/>
        <sz val="9"/>
      </font>
      <fill>
        <patternFill>
          <bgColor rgb="FFC8E6C9"/>
        </patternFill>
      </fill>
    </dxf>
    <dxf>
      <font>
        <b val="1"/>
        <color rgb="FFC62828"/>
        <sz val="10"/>
      </font>
      <fill>
        <patternFill>
          <bgColor rgb="FFEF9A9A"/>
        </patternFill>
      </fill>
    </dxf>
    <dxf>
      <font>
        <b val="1"/>
        <color rgb="FFD32F2F"/>
        <sz val="10"/>
      </font>
      <fill>
        <patternFill>
          <bgColor rgb="FFFFCDD2"/>
        </patternFill>
      </fill>
    </dxf>
    <dxf>
      <font>
        <b val="1"/>
        <color rgb="FFE65100"/>
        <sz val="10"/>
      </font>
      <fill>
        <patternFill>
          <bgColor rgb="FFFFEBEE"/>
        </patternFill>
      </fill>
    </dxf>
    <dxf>
      <font>
        <b val="1"/>
        <color rgb="FF1B5E20"/>
        <sz val="10"/>
      </font>
      <fill>
        <patternFill>
          <bgColor rgb="FFC8E6C9"/>
        </patternFill>
      </fill>
    </dxf>
  </dxfs>
  <colors>
    <indexedColors>
      <rgbColor rgb="FF000000"/>
      <rgbColor rgb="FFFFFFFF"/>
      <rgbColor rgb="FFD32F2F"/>
      <rgbColor rgb="FFF0F4F8"/>
      <rgbColor rgb="FF0000FF"/>
      <rgbColor rgb="FFFFF3E0"/>
      <rgbColor rgb="FFFFCDD2"/>
      <rgbColor rgb="FFD9D9D9"/>
      <rgbColor rgb="FFE74C3C"/>
      <rgbColor rgb="FF2E7D32"/>
      <rgbColor rgb="FF000080"/>
      <rgbColor rgb="FF4A4A4A"/>
      <rgbColor rgb="FFF5F5F5"/>
      <rgbColor rgb="FF2E5E8E"/>
      <rgbColor rgb="FFCCCCCC"/>
      <rgbColor rgb="FF878787"/>
      <rgbColor rgb="FF9FA8DA"/>
      <rgbColor rgb="FF8E44AD"/>
      <rgbColor rgb="FFFFF9C4"/>
      <rgbColor rgb="FFE3F2FD"/>
      <rgbColor rgb="FF660066"/>
      <rgbColor rgb="FFF57F17"/>
      <rgbColor rgb="FF0D47A1"/>
      <rgbColor rgb="FFBBDEFB"/>
      <rgbColor rgb="FF000080"/>
      <rgbColor rgb="FFFFEBEE"/>
      <rgbColor rgb="FFFFF9E6"/>
      <rgbColor rgb="FFE8EAF6"/>
      <rgbColor rgb="FF800080"/>
      <rgbColor rgb="FF800000"/>
      <rgbColor rgb="FF27AE60"/>
      <rgbColor rgb="FF0000FF"/>
      <rgbColor rgb="FFD6E4F0"/>
      <rgbColor rgb="FFE8F5E9"/>
      <rgbColor rgb="FFC8E6C9"/>
      <rgbColor rgb="FFFFF8E1"/>
      <rgbColor rgb="FF64B5F6"/>
      <rgbColor rgb="FFEF9A9A"/>
      <rgbColor rgb="FFB39DDB"/>
      <rgbColor rgb="FFFFE0B2"/>
      <rgbColor rgb="FF34495E"/>
      <rgbColor rgb="FF4CAF50"/>
      <rgbColor rgb="FFF39C12"/>
      <rgbColor rgb="FFE6C300"/>
      <rgbColor rgb="FFFF9800"/>
      <rgbColor rgb="FFE65100"/>
      <rgbColor rgb="FF5C6BC0"/>
      <rgbColor rgb="FFAAAAAA"/>
      <rgbColor rgb="FF1B2A4A"/>
      <rgbColor rgb="FF388E3C"/>
      <rgbColor rgb="FF1B5E20"/>
      <rgbColor rgb="FF1A1A1A"/>
      <rgbColor rgb="FFB71C1C"/>
      <rgbColor rgb="FFC62828"/>
      <rgbColor rgb="FF311B92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e5e8e"/>
            </a:solidFill>
            <a:ln w="7920">
              <a:solidFill>
                <a:srgbClr val="1b2a4a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Config!$B$6:$B$19</c:f>
              <c:strCache>
                <c:ptCount val="1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</c:strCache>
            </c:strRef>
          </c:cat>
          <c:val>
            <c:numRef>
              <c:f>Config!$H$6:$H$19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gapWidth val="150"/>
        <c:overlap val="0"/>
        <c:axId val="50762388"/>
        <c:axId val="91850363"/>
      </c:barChart>
      <c:catAx>
        <c:axId val="507623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50363"/>
        <c:crosses val="autoZero"/>
        <c:auto val="1"/>
        <c:lblAlgn val="ctr"/>
        <c:lblOffset val="100"/>
        <c:noMultiLvlLbl val="0"/>
      </c:catAx>
      <c:valAx>
        <c:axId val="91850363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Complete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623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68040</xdr:rowOff>
    </xdr:from>
    <xdr:to>
      <xdr:col>13</xdr:col>
      <xdr:colOff>735480</xdr:colOff>
      <xdr:row>51</xdr:row>
      <xdr:rowOff>112680</xdr:rowOff>
    </xdr:to>
    <xdr:graphicFrame>
      <xdr:nvGraphicFramePr>
        <xdr:cNvPr id="0" name="Chart 1"/>
        <xdr:cNvGraphicFramePr/>
      </xdr:nvGraphicFramePr>
      <xdr:xfrm>
        <a:off x="0" y="4381560"/>
        <a:ext cx="1151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O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3"/>
    <col collapsed="false" customWidth="true" hidden="false" outlineLevel="0" max="14" min="14" style="0" width="20"/>
    <col collapsed="false" customWidth="true" hidden="false" outlineLevel="0" max="15" min="15" style="0" width="16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7.3" hidden="false" customHeight="true" outlineLevel="0" collapsed="false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7" t="s">
        <v>8</v>
      </c>
      <c r="H3" s="7"/>
      <c r="I3" s="7"/>
      <c r="J3" s="7"/>
      <c r="K3" s="7"/>
      <c r="L3" s="7"/>
    </row>
    <row r="4" customFormat="false" ht="15" hidden="false" customHeight="true" outlineLevel="0" collapsed="false">
      <c r="N4" s="8" t="s">
        <v>9</v>
      </c>
      <c r="O4" s="8"/>
    </row>
    <row r="5" customFormat="false" ht="15" hidden="false" customHeight="false" outlineLevel="0" collapsed="false">
      <c r="A5" s="9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9" t="s">
        <v>15</v>
      </c>
      <c r="G5" s="9" t="s">
        <v>16</v>
      </c>
      <c r="H5" s="9" t="s">
        <v>17</v>
      </c>
      <c r="I5" s="9" t="s">
        <v>18</v>
      </c>
      <c r="J5" s="9" t="s">
        <v>19</v>
      </c>
      <c r="K5" s="9" t="s">
        <v>20</v>
      </c>
      <c r="L5" s="9" t="s">
        <v>21</v>
      </c>
      <c r="N5" s="10" t="s">
        <v>22</v>
      </c>
      <c r="O5" s="10" t="s">
        <v>23</v>
      </c>
    </row>
    <row r="6" customFormat="false" ht="15" hidden="false" customHeight="false" outlineLevel="0" collapsed="false">
      <c r="A6" s="11" t="n">
        <v>1</v>
      </c>
      <c r="B6" s="12"/>
      <c r="C6" s="13"/>
      <c r="D6" s="14"/>
      <c r="E6" s="15" t="str">
        <f aca="false">IF(D6="Normal",1,IF(D6="Express",0.5,IF(D6="Extended",1.5,"")))</f>
        <v/>
      </c>
      <c r="F6" s="16" t="str">
        <f aca="false">IF(C6="","",C6+ROUND(14*E6,0))</f>
        <v/>
      </c>
      <c r="G6" s="17" t="str">
        <f aca="false">IF(E6="","",ROUND(14*E6,0))</f>
        <v/>
      </c>
      <c r="H6" s="18" t="n">
        <f aca="false">IFERROR('Project 1'!J53,"")</f>
        <v>0</v>
      </c>
      <c r="I6" s="19" t="n">
        <f aca="false">IFERROR('Project 1'!M53,"")</f>
        <v>0</v>
      </c>
      <c r="J6" s="20" t="str">
        <f aca="false">IFERROR('Project 1'!N54,"")</f>
        <v/>
      </c>
      <c r="K6" s="11"/>
      <c r="L6" s="21" t="s">
        <v>24</v>
      </c>
      <c r="N6" s="22"/>
      <c r="O6" s="11"/>
    </row>
    <row r="7" customFormat="false" ht="15" hidden="false" customHeight="false" outlineLevel="0" collapsed="false">
      <c r="A7" s="23" t="n">
        <v>2</v>
      </c>
      <c r="B7" s="12"/>
      <c r="C7" s="13"/>
      <c r="D7" s="14"/>
      <c r="E7" s="24" t="str">
        <f aca="false">IF(D7="Normal",1,IF(D7="Express",0.5,IF(D7="Extended",1.5,"")))</f>
        <v/>
      </c>
      <c r="F7" s="25" t="str">
        <f aca="false">IF(C7="","",C7+ROUND(14*E7,0))</f>
        <v/>
      </c>
      <c r="G7" s="26" t="str">
        <f aca="false">IF(E7="","",ROUND(14*E7,0))</f>
        <v/>
      </c>
      <c r="H7" s="27" t="n">
        <f aca="false">IFERROR('Project 2'!J53,"")</f>
        <v>0</v>
      </c>
      <c r="I7" s="28" t="n">
        <f aca="false">IFERROR('Project 2'!M53,"")</f>
        <v>0</v>
      </c>
      <c r="J7" s="29" t="str">
        <f aca="false">IFERROR('Project 2'!N54,"")</f>
        <v/>
      </c>
      <c r="K7" s="23"/>
      <c r="L7" s="30" t="s">
        <v>25</v>
      </c>
      <c r="N7" s="22"/>
      <c r="O7" s="23"/>
    </row>
    <row r="8" customFormat="false" ht="15" hidden="false" customHeight="false" outlineLevel="0" collapsed="false">
      <c r="A8" s="11" t="n">
        <v>3</v>
      </c>
      <c r="B8" s="12"/>
      <c r="C8" s="13"/>
      <c r="D8" s="14"/>
      <c r="E8" s="15" t="str">
        <f aca="false">IF(D8="Normal",1,IF(D8="Express",0.5,IF(D8="Extended",1.5,"")))</f>
        <v/>
      </c>
      <c r="F8" s="16" t="str">
        <f aca="false">IF(C8="","",C8+ROUND(14*E8,0))</f>
        <v/>
      </c>
      <c r="G8" s="17" t="str">
        <f aca="false">IF(E8="","",ROUND(14*E8,0))</f>
        <v/>
      </c>
      <c r="H8" s="18" t="n">
        <f aca="false">IFERROR('Project 3'!J53,"")</f>
        <v>0</v>
      </c>
      <c r="I8" s="19" t="n">
        <f aca="false">IFERROR('Project 3'!M53,"")</f>
        <v>0</v>
      </c>
      <c r="J8" s="20" t="str">
        <f aca="false">IFERROR('Project 3'!N54,"")</f>
        <v/>
      </c>
      <c r="K8" s="11"/>
      <c r="L8" s="21" t="s">
        <v>26</v>
      </c>
      <c r="N8" s="22"/>
      <c r="O8" s="11"/>
    </row>
    <row r="9" customFormat="false" ht="15" hidden="false" customHeight="false" outlineLevel="0" collapsed="false">
      <c r="A9" s="23" t="n">
        <v>4</v>
      </c>
      <c r="B9" s="12"/>
      <c r="C9" s="13"/>
      <c r="D9" s="14"/>
      <c r="E9" s="24" t="str">
        <f aca="false">IF(D9="Normal",1,IF(D9="Express",0.5,IF(D9="Extended",1.5,"")))</f>
        <v/>
      </c>
      <c r="F9" s="25" t="str">
        <f aca="false">IF(C9="","",C9+ROUND(14*E9,0))</f>
        <v/>
      </c>
      <c r="G9" s="26" t="str">
        <f aca="false">IF(E9="","",ROUND(14*E9,0))</f>
        <v/>
      </c>
      <c r="H9" s="27" t="n">
        <f aca="false">IFERROR('Project 4'!J53,"")</f>
        <v>0</v>
      </c>
      <c r="I9" s="28" t="n">
        <f aca="false">IFERROR('Project 4'!M53,"")</f>
        <v>0</v>
      </c>
      <c r="J9" s="29" t="str">
        <f aca="false">IFERROR('Project 4'!N54,"")</f>
        <v/>
      </c>
      <c r="K9" s="23"/>
      <c r="L9" s="30" t="s">
        <v>27</v>
      </c>
      <c r="N9" s="22"/>
      <c r="O9" s="23"/>
    </row>
    <row r="10" customFormat="false" ht="15" hidden="false" customHeight="false" outlineLevel="0" collapsed="false">
      <c r="A10" s="11" t="n">
        <v>5</v>
      </c>
      <c r="B10" s="12"/>
      <c r="C10" s="13"/>
      <c r="D10" s="14"/>
      <c r="E10" s="15" t="str">
        <f aca="false">IF(D10="Normal",1,IF(D10="Express",0.5,IF(D10="Extended",1.5,"")))</f>
        <v/>
      </c>
      <c r="F10" s="16" t="str">
        <f aca="false">IF(C10="","",C10+ROUND(14*E10,0))</f>
        <v/>
      </c>
      <c r="G10" s="17" t="str">
        <f aca="false">IF(E10="","",ROUND(14*E10,0))</f>
        <v/>
      </c>
      <c r="H10" s="18" t="n">
        <f aca="false">IFERROR('Project 5'!J53,"")</f>
        <v>0</v>
      </c>
      <c r="I10" s="19" t="n">
        <f aca="false">IFERROR('Project 5'!M53,"")</f>
        <v>0</v>
      </c>
      <c r="J10" s="20" t="str">
        <f aca="false">IFERROR('Project 5'!N54,"")</f>
        <v/>
      </c>
      <c r="K10" s="11"/>
      <c r="L10" s="21" t="s">
        <v>28</v>
      </c>
      <c r="N10" s="22"/>
      <c r="O10" s="11"/>
    </row>
    <row r="11" customFormat="false" ht="15" hidden="false" customHeight="false" outlineLevel="0" collapsed="false">
      <c r="A11" s="23" t="n">
        <v>6</v>
      </c>
      <c r="B11" s="12"/>
      <c r="C11" s="13"/>
      <c r="D11" s="14"/>
      <c r="E11" s="24" t="str">
        <f aca="false">IF(D11="Normal",1,IF(D11="Express",0.5,IF(D11="Extended",1.5,"")))</f>
        <v/>
      </c>
      <c r="F11" s="25" t="str">
        <f aca="false">IF(C11="","",C11+ROUND(14*E11,0))</f>
        <v/>
      </c>
      <c r="G11" s="26" t="str">
        <f aca="false">IF(E11="","",ROUND(14*E11,0))</f>
        <v/>
      </c>
      <c r="H11" s="27" t="n">
        <f aca="false">IFERROR('Project 6'!J53,"")</f>
        <v>0</v>
      </c>
      <c r="I11" s="28" t="n">
        <f aca="false">IFERROR('Project 6'!M53,"")</f>
        <v>0</v>
      </c>
      <c r="J11" s="29" t="str">
        <f aca="false">IFERROR('Project 6'!N54,"")</f>
        <v/>
      </c>
      <c r="K11" s="23"/>
      <c r="L11" s="30" t="s">
        <v>29</v>
      </c>
      <c r="N11" s="22"/>
      <c r="O11" s="23"/>
    </row>
    <row r="12" customFormat="false" ht="15" hidden="false" customHeight="false" outlineLevel="0" collapsed="false">
      <c r="A12" s="11" t="n">
        <v>7</v>
      </c>
      <c r="B12" s="12"/>
      <c r="C12" s="13"/>
      <c r="D12" s="14"/>
      <c r="E12" s="15" t="str">
        <f aca="false">IF(D12="Normal",1,IF(D12="Express",0.5,IF(D12="Extended",1.5,"")))</f>
        <v/>
      </c>
      <c r="F12" s="16" t="str">
        <f aca="false">IF(C12="","",C12+ROUND(14*E12,0))</f>
        <v/>
      </c>
      <c r="G12" s="17" t="str">
        <f aca="false">IF(E12="","",ROUND(14*E12,0))</f>
        <v/>
      </c>
      <c r="H12" s="18" t="n">
        <f aca="false">IFERROR('Project 7'!J53,"")</f>
        <v>0</v>
      </c>
      <c r="I12" s="19" t="n">
        <f aca="false">IFERROR('Project 7'!M53,"")</f>
        <v>0</v>
      </c>
      <c r="J12" s="20" t="str">
        <f aca="false">IFERROR('Project 7'!N54,"")</f>
        <v/>
      </c>
      <c r="K12" s="11"/>
      <c r="L12" s="21" t="s">
        <v>30</v>
      </c>
      <c r="N12" s="22"/>
      <c r="O12" s="11"/>
    </row>
    <row r="13" customFormat="false" ht="15" hidden="false" customHeight="false" outlineLevel="0" collapsed="false">
      <c r="A13" s="23" t="n">
        <v>8</v>
      </c>
      <c r="B13" s="12"/>
      <c r="C13" s="13"/>
      <c r="D13" s="14"/>
      <c r="E13" s="24" t="str">
        <f aca="false">IF(D13="Normal",1,IF(D13="Express",0.5,IF(D13="Extended",1.5,"")))</f>
        <v/>
      </c>
      <c r="F13" s="25" t="str">
        <f aca="false">IF(C13="","",C13+ROUND(14*E13,0))</f>
        <v/>
      </c>
      <c r="G13" s="26" t="str">
        <f aca="false">IF(E13="","",ROUND(14*E13,0))</f>
        <v/>
      </c>
      <c r="H13" s="27" t="n">
        <f aca="false">IFERROR('Project 8'!J53,"")</f>
        <v>0</v>
      </c>
      <c r="I13" s="28" t="n">
        <f aca="false">IFERROR('Project 8'!M53,"")</f>
        <v>0</v>
      </c>
      <c r="J13" s="29" t="str">
        <f aca="false">IFERROR('Project 8'!N54,"")</f>
        <v/>
      </c>
      <c r="K13" s="23"/>
      <c r="L13" s="30" t="s">
        <v>31</v>
      </c>
      <c r="N13" s="22"/>
      <c r="O13" s="23"/>
    </row>
    <row r="14" customFormat="false" ht="15" hidden="false" customHeight="false" outlineLevel="0" collapsed="false">
      <c r="A14" s="11" t="n">
        <v>9</v>
      </c>
      <c r="B14" s="12"/>
      <c r="C14" s="13"/>
      <c r="D14" s="14"/>
      <c r="E14" s="15" t="str">
        <f aca="false">IF(D14="Normal",1,IF(D14="Express",0.5,IF(D14="Extended",1.5,"")))</f>
        <v/>
      </c>
      <c r="F14" s="16" t="str">
        <f aca="false">IF(C14="","",C14+ROUND(14*E14,0))</f>
        <v/>
      </c>
      <c r="G14" s="17" t="str">
        <f aca="false">IF(E14="","",ROUND(14*E14,0))</f>
        <v/>
      </c>
      <c r="H14" s="18" t="n">
        <f aca="false">IFERROR('Project 9'!J53,"")</f>
        <v>0</v>
      </c>
      <c r="I14" s="19" t="n">
        <f aca="false">IFERROR('Project 9'!M53,"")</f>
        <v>0</v>
      </c>
      <c r="J14" s="20" t="str">
        <f aca="false">IFERROR('Project 9'!N54,"")</f>
        <v/>
      </c>
      <c r="K14" s="11"/>
      <c r="L14" s="21" t="s">
        <v>32</v>
      </c>
      <c r="N14" s="22"/>
      <c r="O14" s="11"/>
    </row>
    <row r="15" customFormat="false" ht="15" hidden="false" customHeight="false" outlineLevel="0" collapsed="false">
      <c r="A15" s="23" t="n">
        <v>10</v>
      </c>
      <c r="B15" s="12"/>
      <c r="C15" s="13"/>
      <c r="D15" s="14"/>
      <c r="E15" s="24" t="str">
        <f aca="false">IF(D15="Normal",1,IF(D15="Express",0.5,IF(D15="Extended",1.5,"")))</f>
        <v/>
      </c>
      <c r="F15" s="25" t="str">
        <f aca="false">IF(C15="","",C15+ROUND(14*E15,0))</f>
        <v/>
      </c>
      <c r="G15" s="26" t="str">
        <f aca="false">IF(E15="","",ROUND(14*E15,0))</f>
        <v/>
      </c>
      <c r="H15" s="27" t="n">
        <f aca="false">IFERROR('Project 10'!J53,"")</f>
        <v>0</v>
      </c>
      <c r="I15" s="28" t="n">
        <f aca="false">IFERROR('Project 10'!M53,"")</f>
        <v>0</v>
      </c>
      <c r="J15" s="29" t="str">
        <f aca="false">IFERROR('Project 10'!N54,"")</f>
        <v/>
      </c>
      <c r="K15" s="23"/>
      <c r="L15" s="30" t="s">
        <v>33</v>
      </c>
      <c r="N15" s="22"/>
      <c r="O15" s="23"/>
    </row>
    <row r="16" customFormat="false" ht="15" hidden="false" customHeight="false" outlineLevel="0" collapsed="false">
      <c r="A16" s="11" t="n">
        <v>11</v>
      </c>
      <c r="B16" s="12"/>
      <c r="C16" s="13"/>
      <c r="D16" s="14"/>
      <c r="E16" s="15" t="str">
        <f aca="false">IF(D16="Normal",1,IF(D16="Express",0.5,IF(D16="Extended",1.5,"")))</f>
        <v/>
      </c>
      <c r="F16" s="16" t="str">
        <f aca="false">IF(C16="","",C16+ROUND(14*E16,0))</f>
        <v/>
      </c>
      <c r="G16" s="17" t="str">
        <f aca="false">IF(E16="","",ROUND(14*E16,0))</f>
        <v/>
      </c>
      <c r="H16" s="18" t="n">
        <f aca="false">IFERROR('Project 11'!J53,"")</f>
        <v>0</v>
      </c>
      <c r="I16" s="19" t="n">
        <f aca="false">IFERROR('Project 11'!M53,"")</f>
        <v>0</v>
      </c>
      <c r="J16" s="20" t="str">
        <f aca="false">IFERROR('Project 11'!N54,"")</f>
        <v/>
      </c>
      <c r="K16" s="11"/>
      <c r="L16" s="21" t="s">
        <v>34</v>
      </c>
    </row>
    <row r="17" customFormat="false" ht="15" hidden="false" customHeight="false" outlineLevel="0" collapsed="false">
      <c r="A17" s="23" t="n">
        <v>12</v>
      </c>
      <c r="B17" s="12"/>
      <c r="C17" s="13"/>
      <c r="D17" s="14"/>
      <c r="E17" s="24" t="str">
        <f aca="false">IF(D17="Normal",1,IF(D17="Express",0.5,IF(D17="Extended",1.5,"")))</f>
        <v/>
      </c>
      <c r="F17" s="25" t="str">
        <f aca="false">IF(C17="","",C17+ROUND(14*E17,0))</f>
        <v/>
      </c>
      <c r="G17" s="26" t="str">
        <f aca="false">IF(E17="","",ROUND(14*E17,0))</f>
        <v/>
      </c>
      <c r="H17" s="27" t="n">
        <f aca="false">IFERROR('Project 12'!J53,"")</f>
        <v>0</v>
      </c>
      <c r="I17" s="28" t="n">
        <f aca="false">IFERROR('Project 12'!M53,"")</f>
        <v>0</v>
      </c>
      <c r="J17" s="29" t="str">
        <f aca="false">IFERROR('Project 12'!N54,"")</f>
        <v/>
      </c>
      <c r="K17" s="23"/>
      <c r="L17" s="30" t="s">
        <v>35</v>
      </c>
    </row>
    <row r="18" customFormat="false" ht="15" hidden="false" customHeight="false" outlineLevel="0" collapsed="false">
      <c r="A18" s="11" t="n">
        <v>13</v>
      </c>
      <c r="B18" s="12"/>
      <c r="C18" s="13"/>
      <c r="D18" s="14"/>
      <c r="E18" s="15" t="str">
        <f aca="false">IF(D18="Normal",1,IF(D18="Express",0.5,IF(D18="Extended",1.5,"")))</f>
        <v/>
      </c>
      <c r="F18" s="16" t="str">
        <f aca="false">IF(C18="","",C18+ROUND(14*E18,0))</f>
        <v/>
      </c>
      <c r="G18" s="17" t="str">
        <f aca="false">IF(E18="","",ROUND(14*E18,0))</f>
        <v/>
      </c>
      <c r="H18" s="18" t="n">
        <f aca="false">IFERROR('Project 13'!J53,"")</f>
        <v>0</v>
      </c>
      <c r="I18" s="19" t="n">
        <f aca="false">IFERROR('Project 13'!M53,"")</f>
        <v>0</v>
      </c>
      <c r="J18" s="20" t="str">
        <f aca="false">IFERROR('Project 13'!N54,"")</f>
        <v/>
      </c>
      <c r="K18" s="11"/>
      <c r="L18" s="21" t="s">
        <v>36</v>
      </c>
    </row>
    <row r="19" customFormat="false" ht="15" hidden="false" customHeight="false" outlineLevel="0" collapsed="false">
      <c r="A19" s="23" t="n">
        <v>14</v>
      </c>
      <c r="B19" s="12"/>
      <c r="C19" s="13"/>
      <c r="D19" s="14"/>
      <c r="E19" s="24" t="str">
        <f aca="false">IF(D19="Normal",1,IF(D19="Express",0.5,IF(D19="Extended",1.5,"")))</f>
        <v/>
      </c>
      <c r="F19" s="25" t="str">
        <f aca="false">IF(C19="","",C19+ROUND(14*E19,0))</f>
        <v/>
      </c>
      <c r="G19" s="26" t="str">
        <f aca="false">IF(E19="","",ROUND(14*E19,0))</f>
        <v/>
      </c>
      <c r="H19" s="27" t="n">
        <f aca="false">IFERROR('Project 14'!J53,"")</f>
        <v>0</v>
      </c>
      <c r="I19" s="28" t="n">
        <f aca="false">IFERROR('Project 14'!M53,"")</f>
        <v>0</v>
      </c>
      <c r="J19" s="29" t="str">
        <f aca="false">IFERROR('Project 14'!N54,"")</f>
        <v/>
      </c>
      <c r="K19" s="23"/>
      <c r="L19" s="30" t="s">
        <v>37</v>
      </c>
    </row>
    <row r="21" customFormat="false" ht="15" hidden="false" customHeight="true" outlineLevel="0" collapsed="false">
      <c r="A21" s="9" t="s">
        <v>38</v>
      </c>
      <c r="B21" s="9"/>
      <c r="C21" s="31"/>
      <c r="D21" s="31"/>
      <c r="E21" s="31"/>
      <c r="F21" s="31"/>
      <c r="G21" s="31"/>
      <c r="H21" s="32" t="n">
        <f aca="false">IFERROR(AVERAGE(H6:H19),"")</f>
        <v>0</v>
      </c>
      <c r="I21" s="9" t="n">
        <f aca="false">SUM(I6:I19)</f>
        <v>0</v>
      </c>
      <c r="J21" s="33" t="str">
        <f aca="false">IFERROR(AVERAGE(J6:J19),"")</f>
        <v/>
      </c>
      <c r="K21" s="9" t="str">
        <f aca="false">COUNTIF(K6:K19,"Complete")&amp;"/"&amp;COUNTA(B6:B19)</f>
        <v>0/0</v>
      </c>
      <c r="L21" s="31"/>
    </row>
    <row r="23" customFormat="false" ht="15" hidden="false" customHeight="false" outlineLevel="0" collapsed="false">
      <c r="A23" s="34" t="s">
        <v>39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</row>
  </sheetData>
  <mergeCells count="6">
    <mergeCell ref="A1:L1"/>
    <mergeCell ref="A2:L2"/>
    <mergeCell ref="G3:L3"/>
    <mergeCell ref="N4:O4"/>
    <mergeCell ref="A21:B21"/>
    <mergeCell ref="A23:L23"/>
  </mergeCells>
  <conditionalFormatting sqref="K6:K19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"On Hold"</formula>
    </cfRule>
    <cfRule type="cellIs" priority="4" operator="equal" aboveAverage="0" equalAverage="0" bottom="0" percent="0" rank="0" text="" dxfId="2">
      <formula>"In Progress"</formula>
    </cfRule>
  </conditionalFormatting>
  <dataValidations count="2">
    <dataValidation allowBlank="true" errorStyle="stop" operator="between" showDropDown="false" showErrorMessage="false" showInputMessage="false" sqref="D6:D19" type="list">
      <formula1>"Express,Normal,Extended"</formula1>
      <formula2>0</formula2>
    </dataValidation>
    <dataValidation allowBlank="true" errorStyle="stop" operator="between" showDropDown="false" showErrorMessage="false" showInputMessage="false" sqref="K6:K19" type="list">
      <formula1>"Not Started,In Progress,On Hold,Complete"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E"/>
    <pageSetUpPr fitToPage="tru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4" min="14" style="0" width="7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46"/>
    <col collapsed="false" customWidth="true" hidden="false" outlineLevel="0" max="19" min="18" style="0" width="38"/>
  </cols>
  <sheetData>
    <row r="1" customFormat="false" ht="17.35" hidden="false" customHeight="false" outlineLevel="0" collapsed="false">
      <c r="A1" s="1" t="str">
        <f aca="false">IF(Config!B6&lt;&gt;"",Config!B6&amp;" — DNS, Certificate &amp; SSO Migration Runbook","Project 1 — Assign name on Config sheet")</f>
        <v>Project 1 — Assign name on Config sheet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27.75" hidden="false" customHeight="true" outlineLevel="0" collapsed="false">
      <c r="A3" s="35" t="s">
        <v>40</v>
      </c>
      <c r="B3" s="35"/>
      <c r="C3" s="36" t="n">
        <f aca="false">Config!C6</f>
        <v>0</v>
      </c>
      <c r="D3" s="35" t="s">
        <v>41</v>
      </c>
      <c r="E3" s="37" t="n">
        <f aca="false">Config!D6</f>
        <v>0</v>
      </c>
      <c r="F3" s="37"/>
      <c r="G3" s="35" t="s">
        <v>42</v>
      </c>
      <c r="H3" s="38" t="str">
        <f aca="false">Config!E6</f>
        <v/>
      </c>
      <c r="I3" s="35" t="s">
        <v>43</v>
      </c>
      <c r="J3" s="35"/>
      <c r="K3" s="36" t="str">
        <f aca="false">Config!F6</f>
        <v/>
      </c>
      <c r="L3" s="35" t="s">
        <v>44</v>
      </c>
      <c r="M3" s="39" t="str">
        <f aca="false">Config!G6</f>
        <v/>
      </c>
      <c r="N3" s="40"/>
      <c r="O3" s="40"/>
      <c r="P3" s="40"/>
      <c r="Q3" s="40"/>
      <c r="R3" s="40"/>
      <c r="S3" s="40"/>
    </row>
    <row r="5" customFormat="false" ht="35.05" hidden="false" customHeight="false" outlineLevel="0" collapsed="false">
      <c r="A5" s="9" t="s">
        <v>10</v>
      </c>
      <c r="B5" s="9" t="s">
        <v>45</v>
      </c>
      <c r="C5" s="9" t="s">
        <v>46</v>
      </c>
      <c r="D5" s="9" t="s">
        <v>47</v>
      </c>
      <c r="E5" s="9" t="s">
        <v>48</v>
      </c>
      <c r="F5" s="9" t="s">
        <v>49</v>
      </c>
      <c r="G5" s="9" t="s">
        <v>50</v>
      </c>
      <c r="H5" s="9" t="s">
        <v>51</v>
      </c>
      <c r="I5" s="41" t="s">
        <v>20</v>
      </c>
      <c r="J5" s="42" t="s">
        <v>17</v>
      </c>
      <c r="K5" s="43" t="s">
        <v>52</v>
      </c>
      <c r="L5" s="44" t="s">
        <v>53</v>
      </c>
      <c r="M5" s="45" t="s">
        <v>18</v>
      </c>
      <c r="N5" s="9" t="s">
        <v>54</v>
      </c>
      <c r="O5" s="9" t="s">
        <v>55</v>
      </c>
      <c r="P5" s="9" t="s">
        <v>56</v>
      </c>
      <c r="Q5" s="9" t="s">
        <v>57</v>
      </c>
      <c r="R5" s="9" t="s">
        <v>58</v>
      </c>
      <c r="S5" s="9" t="s">
        <v>59</v>
      </c>
    </row>
    <row r="6" customFormat="false" ht="36" hidden="false" customHeight="true" outlineLevel="0" collapsed="false">
      <c r="A6" s="46" t="n">
        <v>1</v>
      </c>
      <c r="B6" s="47" t="s">
        <v>60</v>
      </c>
      <c r="C6" s="46" t="s">
        <v>61</v>
      </c>
      <c r="D6" s="48" t="s">
        <v>62</v>
      </c>
      <c r="E6" s="49" t="s">
        <v>63</v>
      </c>
      <c r="F6" s="46" t="s">
        <v>64</v>
      </c>
      <c r="G6" s="50" t="e">
        <f aca="false">ROUND(0*$H$3,0)</f>
        <v>#VALUE!</v>
      </c>
      <c r="H6" s="51" t="e">
        <f aca="false">$C$3+G6</f>
        <v>#VALUE!</v>
      </c>
      <c r="I6" s="52"/>
      <c r="J6" s="53" t="n">
        <f aca="false">IF(I6="Complete",1,IF(I6="Skipped",1,IF(I6="Blocked",0.5,IF(I6="In Progress",0.25,0))))</f>
        <v>0</v>
      </c>
      <c r="K6" s="54"/>
      <c r="L6" s="55"/>
      <c r="M6" s="56"/>
      <c r="N6" s="57" t="str">
        <f aca="false">IF(M6="","",M6-H6)</f>
        <v/>
      </c>
      <c r="O6" s="58" t="str">
        <f aca="false">IF(M6="","",ABS(M6-H6)*24)</f>
        <v/>
      </c>
      <c r="P6" s="46"/>
      <c r="Q6" s="59" t="s">
        <v>65</v>
      </c>
      <c r="R6" s="59" t="s">
        <v>66</v>
      </c>
      <c r="S6" s="59" t="s">
        <v>67</v>
      </c>
    </row>
    <row r="7" customFormat="false" ht="36" hidden="false" customHeight="true" outlineLevel="0" collapsed="false">
      <c r="A7" s="23" t="n">
        <v>2</v>
      </c>
      <c r="B7" s="60" t="s">
        <v>60</v>
      </c>
      <c r="C7" s="23" t="s">
        <v>68</v>
      </c>
      <c r="D7" s="61" t="s">
        <v>69</v>
      </c>
      <c r="E7" s="62" t="s">
        <v>70</v>
      </c>
      <c r="F7" s="23" t="s">
        <v>64</v>
      </c>
      <c r="G7" s="26" t="e">
        <f aca="false">ROUND(0*$H$3,0)</f>
        <v>#VALUE!</v>
      </c>
      <c r="H7" s="25" t="e">
        <f aca="false">$C$3+G7</f>
        <v>#VALUE!</v>
      </c>
      <c r="I7" s="52"/>
      <c r="J7" s="53" t="n">
        <f aca="false">IF(I7="Complete",1,IF(I7="Skipped",1,IF(I7="Blocked",0.5,IF(I7="In Progress",0.25,0))))</f>
        <v>0</v>
      </c>
      <c r="K7" s="54"/>
      <c r="L7" s="55"/>
      <c r="M7" s="56"/>
      <c r="N7" s="57" t="str">
        <f aca="false">IF(M7="","",M7-H7)</f>
        <v/>
      </c>
      <c r="O7" s="58" t="str">
        <f aca="false">IF(M7="","",ABS(M7-H7)*24)</f>
        <v/>
      </c>
      <c r="P7" s="23"/>
      <c r="Q7" s="63" t="s">
        <v>71</v>
      </c>
      <c r="R7" s="63" t="s">
        <v>66</v>
      </c>
      <c r="S7" s="63" t="s">
        <v>72</v>
      </c>
    </row>
    <row r="8" customFormat="false" ht="36" hidden="false" customHeight="true" outlineLevel="0" collapsed="false">
      <c r="A8" s="11" t="n">
        <v>3</v>
      </c>
      <c r="B8" s="64" t="s">
        <v>60</v>
      </c>
      <c r="C8" s="11" t="s">
        <v>73</v>
      </c>
      <c r="D8" s="65" t="s">
        <v>74</v>
      </c>
      <c r="E8" s="66" t="s">
        <v>75</v>
      </c>
      <c r="F8" s="11" t="s">
        <v>64</v>
      </c>
      <c r="G8" s="17" t="e">
        <f aca="false">ROUND(0*$H$3,0)</f>
        <v>#VALUE!</v>
      </c>
      <c r="H8" s="16" t="e">
        <f aca="false">$C$3+G8</f>
        <v>#VALUE!</v>
      </c>
      <c r="I8" s="52"/>
      <c r="J8" s="53" t="n">
        <f aca="false">IF(I8="Complete",1,IF(I8="Skipped",1,IF(I8="Blocked",0.5,IF(I8="In Progress",0.25,0))))</f>
        <v>0</v>
      </c>
      <c r="K8" s="54"/>
      <c r="L8" s="55"/>
      <c r="M8" s="56"/>
      <c r="N8" s="57" t="str">
        <f aca="false">IF(M8="","",M8-H8)</f>
        <v/>
      </c>
      <c r="O8" s="58" t="str">
        <f aca="false">IF(M8="","",ABS(M8-H8)*24)</f>
        <v/>
      </c>
      <c r="P8" s="11"/>
      <c r="Q8" s="67" t="s">
        <v>76</v>
      </c>
      <c r="R8" s="67" t="s">
        <v>66</v>
      </c>
      <c r="S8" s="67" t="s">
        <v>77</v>
      </c>
    </row>
    <row r="9" customFormat="false" ht="36" hidden="false" customHeight="true" outlineLevel="0" collapsed="false">
      <c r="A9" s="23" t="n">
        <v>4</v>
      </c>
      <c r="B9" s="60" t="s">
        <v>60</v>
      </c>
      <c r="C9" s="23" t="s">
        <v>78</v>
      </c>
      <c r="D9" s="61" t="s">
        <v>79</v>
      </c>
      <c r="E9" s="62" t="s">
        <v>80</v>
      </c>
      <c r="F9" s="23" t="s">
        <v>64</v>
      </c>
      <c r="G9" s="26" t="e">
        <f aca="false">ROUND(1*$H$3,0)</f>
        <v>#VALUE!</v>
      </c>
      <c r="H9" s="25" t="e">
        <f aca="false">$C$3+G9</f>
        <v>#VALUE!</v>
      </c>
      <c r="I9" s="52"/>
      <c r="J9" s="53" t="n">
        <f aca="false">IF(I9="Complete",1,IF(I9="Skipped",1,IF(I9="Blocked",0.5,IF(I9="In Progress",0.25,0))))</f>
        <v>0</v>
      </c>
      <c r="K9" s="54"/>
      <c r="L9" s="55"/>
      <c r="M9" s="56"/>
      <c r="N9" s="57" t="str">
        <f aca="false">IF(M9="","",M9-H9)</f>
        <v/>
      </c>
      <c r="O9" s="58" t="str">
        <f aca="false">IF(M9="","",ABS(M9-H9)*24)</f>
        <v/>
      </c>
      <c r="P9" s="23"/>
      <c r="Q9" s="63" t="s">
        <v>81</v>
      </c>
      <c r="R9" s="63" t="s">
        <v>66</v>
      </c>
      <c r="S9" s="63" t="s">
        <v>82</v>
      </c>
    </row>
    <row r="10" customFormat="false" ht="36" hidden="false" customHeight="true" outlineLevel="0" collapsed="false">
      <c r="A10" s="11" t="n">
        <v>5</v>
      </c>
      <c r="B10" s="64" t="s">
        <v>60</v>
      </c>
      <c r="C10" s="11" t="s">
        <v>83</v>
      </c>
      <c r="D10" s="65" t="s">
        <v>84</v>
      </c>
      <c r="E10" s="66" t="s">
        <v>85</v>
      </c>
      <c r="F10" s="11" t="s">
        <v>64</v>
      </c>
      <c r="G10" s="17" t="e">
        <f aca="false">ROUND(1*$H$3,0)</f>
        <v>#VALUE!</v>
      </c>
      <c r="H10" s="16" t="e">
        <f aca="false">$C$3+G10</f>
        <v>#VALUE!</v>
      </c>
      <c r="I10" s="52"/>
      <c r="J10" s="53" t="n">
        <f aca="false">IF(I10="Complete",1,IF(I10="Skipped",1,IF(I10="Blocked",0.5,IF(I10="In Progress",0.25,0))))</f>
        <v>0</v>
      </c>
      <c r="K10" s="54"/>
      <c r="L10" s="55"/>
      <c r="M10" s="56"/>
      <c r="N10" s="57" t="str">
        <f aca="false">IF(M10="","",M10-H10)</f>
        <v/>
      </c>
      <c r="O10" s="58" t="str">
        <f aca="false">IF(M10="","",ABS(M10-H10)*24)</f>
        <v/>
      </c>
      <c r="P10" s="11"/>
      <c r="Q10" s="67" t="s">
        <v>86</v>
      </c>
      <c r="R10" s="67" t="s">
        <v>66</v>
      </c>
      <c r="S10" s="67" t="s">
        <v>87</v>
      </c>
    </row>
    <row r="11" customFormat="false" ht="36" hidden="false" customHeight="true" outlineLevel="0" collapsed="false">
      <c r="A11" s="23" t="n">
        <v>6</v>
      </c>
      <c r="B11" s="60" t="s">
        <v>60</v>
      </c>
      <c r="C11" s="23" t="s">
        <v>88</v>
      </c>
      <c r="D11" s="61" t="s">
        <v>89</v>
      </c>
      <c r="E11" s="62" t="s">
        <v>90</v>
      </c>
      <c r="F11" s="23" t="s">
        <v>64</v>
      </c>
      <c r="G11" s="26" t="e">
        <f aca="false">ROUND(1*$H$3,0)</f>
        <v>#VALUE!</v>
      </c>
      <c r="H11" s="25" t="e">
        <f aca="false">$C$3+G11</f>
        <v>#VALUE!</v>
      </c>
      <c r="I11" s="52"/>
      <c r="J11" s="53" t="n">
        <f aca="false">IF(I11="Complete",1,IF(I11="Skipped",1,IF(I11="Blocked",0.5,IF(I11="In Progress",0.25,0))))</f>
        <v>0</v>
      </c>
      <c r="K11" s="54"/>
      <c r="L11" s="55"/>
      <c r="M11" s="56"/>
      <c r="N11" s="57" t="str">
        <f aca="false">IF(M11="","",M11-H11)</f>
        <v/>
      </c>
      <c r="O11" s="58" t="str">
        <f aca="false">IF(M11="","",ABS(M11-H11)*24)</f>
        <v/>
      </c>
      <c r="P11" s="23"/>
      <c r="Q11" s="63" t="s">
        <v>91</v>
      </c>
      <c r="R11" s="63" t="s">
        <v>66</v>
      </c>
      <c r="S11" s="63" t="s">
        <v>92</v>
      </c>
    </row>
    <row r="12" customFormat="false" ht="36" hidden="false" customHeight="true" outlineLevel="0" collapsed="false">
      <c r="A12" s="11" t="n">
        <v>7</v>
      </c>
      <c r="B12" s="64" t="s">
        <v>60</v>
      </c>
      <c r="C12" s="11" t="s">
        <v>93</v>
      </c>
      <c r="D12" s="65" t="s">
        <v>94</v>
      </c>
      <c r="E12" s="66" t="s">
        <v>95</v>
      </c>
      <c r="F12" s="11" t="s">
        <v>96</v>
      </c>
      <c r="G12" s="17" t="e">
        <f aca="false">ROUND(1*$H$3,0)</f>
        <v>#VALUE!</v>
      </c>
      <c r="H12" s="16" t="e">
        <f aca="false">$C$3+G12</f>
        <v>#VALUE!</v>
      </c>
      <c r="I12" s="52"/>
      <c r="J12" s="53" t="n">
        <f aca="false">IF(I12="Complete",1,IF(I12="Skipped",1,IF(I12="Blocked",0.5,IF(I12="In Progress",0.25,0))))</f>
        <v>0</v>
      </c>
      <c r="K12" s="54"/>
      <c r="L12" s="55"/>
      <c r="M12" s="56"/>
      <c r="N12" s="57" t="str">
        <f aca="false">IF(M12="","",M12-H12)</f>
        <v/>
      </c>
      <c r="O12" s="58" t="str">
        <f aca="false">IF(M12="","",ABS(M12-H12)*24)</f>
        <v/>
      </c>
      <c r="P12" s="11"/>
      <c r="Q12" s="67" t="s">
        <v>97</v>
      </c>
      <c r="R12" s="67" t="s">
        <v>66</v>
      </c>
      <c r="S12" s="67" t="s">
        <v>98</v>
      </c>
    </row>
    <row r="13" customFormat="false" ht="36" hidden="false" customHeight="true" outlineLevel="0" collapsed="false">
      <c r="A13" s="23" t="n">
        <v>8</v>
      </c>
      <c r="B13" s="60" t="s">
        <v>60</v>
      </c>
      <c r="C13" s="23" t="s">
        <v>99</v>
      </c>
      <c r="D13" s="61" t="s">
        <v>100</v>
      </c>
      <c r="E13" s="62" t="s">
        <v>101</v>
      </c>
      <c r="F13" s="23" t="s">
        <v>64</v>
      </c>
      <c r="G13" s="26" t="e">
        <f aca="false">ROUND(1*$H$3,0)</f>
        <v>#VALUE!</v>
      </c>
      <c r="H13" s="25" t="e">
        <f aca="false">$C$3+G13</f>
        <v>#VALUE!</v>
      </c>
      <c r="I13" s="52"/>
      <c r="J13" s="53" t="n">
        <f aca="false">IF(I13="Complete",1,IF(I13="Skipped",1,IF(I13="Blocked",0.5,IF(I13="In Progress",0.25,0))))</f>
        <v>0</v>
      </c>
      <c r="K13" s="54"/>
      <c r="L13" s="55"/>
      <c r="M13" s="56"/>
      <c r="N13" s="57" t="str">
        <f aca="false">IF(M13="","",M13-H13)</f>
        <v/>
      </c>
      <c r="O13" s="58" t="str">
        <f aca="false">IF(M13="","",ABS(M13-H13)*24)</f>
        <v/>
      </c>
      <c r="P13" s="23"/>
      <c r="Q13" s="63" t="s">
        <v>102</v>
      </c>
      <c r="R13" s="63" t="s">
        <v>103</v>
      </c>
      <c r="S13" s="63" t="s">
        <v>104</v>
      </c>
    </row>
    <row r="14" customFormat="false" ht="36" hidden="false" customHeight="true" outlineLevel="0" collapsed="false">
      <c r="A14" s="11" t="n">
        <v>9</v>
      </c>
      <c r="B14" s="64" t="s">
        <v>60</v>
      </c>
      <c r="C14" s="11" t="s">
        <v>105</v>
      </c>
      <c r="D14" s="65" t="s">
        <v>106</v>
      </c>
      <c r="E14" s="66" t="s">
        <v>107</v>
      </c>
      <c r="F14" s="11" t="s">
        <v>64</v>
      </c>
      <c r="G14" s="17" t="e">
        <f aca="false">ROUND(2*$H$3,0)</f>
        <v>#VALUE!</v>
      </c>
      <c r="H14" s="16" t="e">
        <f aca="false">$C$3+G14</f>
        <v>#VALUE!</v>
      </c>
      <c r="I14" s="52"/>
      <c r="J14" s="53" t="n">
        <f aca="false">IF(I14="Complete",1,IF(I14="Skipped",1,IF(I14="Blocked",0.5,IF(I14="In Progress",0.25,0))))</f>
        <v>0</v>
      </c>
      <c r="K14" s="54"/>
      <c r="L14" s="55"/>
      <c r="M14" s="56"/>
      <c r="N14" s="57" t="str">
        <f aca="false">IF(M14="","",M14-H14)</f>
        <v/>
      </c>
      <c r="O14" s="58" t="str">
        <f aca="false">IF(M14="","",ABS(M14-H14)*24)</f>
        <v/>
      </c>
      <c r="P14" s="11"/>
      <c r="Q14" s="67" t="s">
        <v>108</v>
      </c>
      <c r="R14" s="67" t="s">
        <v>109</v>
      </c>
      <c r="S14" s="67" t="s">
        <v>110</v>
      </c>
    </row>
    <row r="15" customFormat="false" ht="36" hidden="false" customHeight="true" outlineLevel="0" collapsed="false">
      <c r="A15" s="23" t="n">
        <v>10</v>
      </c>
      <c r="B15" s="60" t="s">
        <v>60</v>
      </c>
      <c r="C15" s="23" t="s">
        <v>111</v>
      </c>
      <c r="D15" s="61" t="s">
        <v>112</v>
      </c>
      <c r="E15" s="62" t="s">
        <v>113</v>
      </c>
      <c r="F15" s="23" t="s">
        <v>114</v>
      </c>
      <c r="G15" s="26" t="e">
        <f aca="false">ROUND(2*$H$3,0)</f>
        <v>#VALUE!</v>
      </c>
      <c r="H15" s="25" t="e">
        <f aca="false">$C$3+G15</f>
        <v>#VALUE!</v>
      </c>
      <c r="I15" s="52"/>
      <c r="J15" s="53" t="n">
        <f aca="false">IF(I15="Complete",1,IF(I15="Skipped",1,IF(I15="Blocked",0.5,IF(I15="In Progress",0.25,0))))</f>
        <v>0</v>
      </c>
      <c r="K15" s="54"/>
      <c r="L15" s="55"/>
      <c r="M15" s="56"/>
      <c r="N15" s="57" t="str">
        <f aca="false">IF(M15="","",M15-H15)</f>
        <v/>
      </c>
      <c r="O15" s="58" t="str">
        <f aca="false">IF(M15="","",ABS(M15-H15)*24)</f>
        <v/>
      </c>
      <c r="P15" s="23"/>
      <c r="Q15" s="63" t="s">
        <v>115</v>
      </c>
      <c r="R15" s="63" t="s">
        <v>116</v>
      </c>
      <c r="S15" s="63" t="s">
        <v>117</v>
      </c>
    </row>
    <row r="16" customFormat="false" ht="36" hidden="false" customHeight="true" outlineLevel="0" collapsed="false">
      <c r="A16" s="46" t="n">
        <v>11</v>
      </c>
      <c r="B16" s="47" t="s">
        <v>118</v>
      </c>
      <c r="C16" s="46" t="s">
        <v>119</v>
      </c>
      <c r="D16" s="48" t="s">
        <v>120</v>
      </c>
      <c r="E16" s="49" t="s">
        <v>121</v>
      </c>
      <c r="F16" s="46" t="s">
        <v>64</v>
      </c>
      <c r="G16" s="50" t="e">
        <f aca="false">ROUND(3*$H$3,0)</f>
        <v>#VALUE!</v>
      </c>
      <c r="H16" s="51" t="e">
        <f aca="false">$C$3+G16</f>
        <v>#VALUE!</v>
      </c>
      <c r="I16" s="52"/>
      <c r="J16" s="53" t="n">
        <f aca="false">IF(I16="Complete",1,IF(I16="Skipped",1,IF(I16="Blocked",0.5,IF(I16="In Progress",0.25,0))))</f>
        <v>0</v>
      </c>
      <c r="K16" s="54"/>
      <c r="L16" s="55"/>
      <c r="M16" s="56"/>
      <c r="N16" s="57" t="str">
        <f aca="false">IF(M16="","",M16-H16)</f>
        <v/>
      </c>
      <c r="O16" s="58" t="str">
        <f aca="false">IF(M16="","",ABS(M16-H16)*24)</f>
        <v/>
      </c>
      <c r="P16" s="46"/>
      <c r="Q16" s="59" t="s">
        <v>122</v>
      </c>
      <c r="R16" s="59" t="s">
        <v>123</v>
      </c>
      <c r="S16" s="59" t="s">
        <v>124</v>
      </c>
    </row>
    <row r="17" customFormat="false" ht="36" hidden="false" customHeight="true" outlineLevel="0" collapsed="false">
      <c r="A17" s="23" t="n">
        <v>12</v>
      </c>
      <c r="B17" s="60" t="s">
        <v>118</v>
      </c>
      <c r="C17" s="23" t="s">
        <v>125</v>
      </c>
      <c r="D17" s="61" t="s">
        <v>126</v>
      </c>
      <c r="E17" s="62" t="s">
        <v>127</v>
      </c>
      <c r="F17" s="23" t="s">
        <v>64</v>
      </c>
      <c r="G17" s="26" t="e">
        <f aca="false">ROUND(3*$H$3,0)</f>
        <v>#VALUE!</v>
      </c>
      <c r="H17" s="25" t="e">
        <f aca="false">$C$3+G17</f>
        <v>#VALUE!</v>
      </c>
      <c r="I17" s="52"/>
      <c r="J17" s="53" t="n">
        <f aca="false">IF(I17="Complete",1,IF(I17="Skipped",1,IF(I17="Blocked",0.5,IF(I17="In Progress",0.25,0))))</f>
        <v>0</v>
      </c>
      <c r="K17" s="54"/>
      <c r="L17" s="55"/>
      <c r="M17" s="56"/>
      <c r="N17" s="57" t="str">
        <f aca="false">IF(M17="","",M17-H17)</f>
        <v/>
      </c>
      <c r="O17" s="58" t="str">
        <f aca="false">IF(M17="","",ABS(M17-H17)*24)</f>
        <v/>
      </c>
      <c r="P17" s="23"/>
      <c r="Q17" s="63" t="s">
        <v>128</v>
      </c>
      <c r="R17" s="63" t="s">
        <v>129</v>
      </c>
      <c r="S17" s="63" t="s">
        <v>130</v>
      </c>
    </row>
    <row r="18" customFormat="false" ht="36" hidden="false" customHeight="true" outlineLevel="0" collapsed="false">
      <c r="A18" s="11" t="n">
        <v>13</v>
      </c>
      <c r="B18" s="64" t="s">
        <v>118</v>
      </c>
      <c r="C18" s="11" t="s">
        <v>131</v>
      </c>
      <c r="D18" s="65" t="s">
        <v>132</v>
      </c>
      <c r="E18" s="66" t="s">
        <v>133</v>
      </c>
      <c r="F18" s="11" t="s">
        <v>64</v>
      </c>
      <c r="G18" s="17" t="e">
        <f aca="false">ROUND(3*$H$3,0)</f>
        <v>#VALUE!</v>
      </c>
      <c r="H18" s="16" t="e">
        <f aca="false">$C$3+G18</f>
        <v>#VALUE!</v>
      </c>
      <c r="I18" s="52"/>
      <c r="J18" s="53" t="n">
        <f aca="false">IF(I18="Complete",1,IF(I18="Skipped",1,IF(I18="Blocked",0.5,IF(I18="In Progress",0.25,0))))</f>
        <v>0</v>
      </c>
      <c r="K18" s="54"/>
      <c r="L18" s="55"/>
      <c r="M18" s="56"/>
      <c r="N18" s="57" t="str">
        <f aca="false">IF(M18="","",M18-H18)</f>
        <v/>
      </c>
      <c r="O18" s="58" t="str">
        <f aca="false">IF(M18="","",ABS(M18-H18)*24)</f>
        <v/>
      </c>
      <c r="P18" s="11"/>
      <c r="Q18" s="67" t="s">
        <v>134</v>
      </c>
      <c r="R18" s="67" t="s">
        <v>135</v>
      </c>
      <c r="S18" s="67" t="s">
        <v>136</v>
      </c>
    </row>
    <row r="19" customFormat="false" ht="36" hidden="false" customHeight="true" outlineLevel="0" collapsed="false">
      <c r="A19" s="23" t="n">
        <v>14</v>
      </c>
      <c r="B19" s="60" t="s">
        <v>118</v>
      </c>
      <c r="C19" s="23" t="s">
        <v>137</v>
      </c>
      <c r="D19" s="61" t="s">
        <v>138</v>
      </c>
      <c r="E19" s="62" t="s">
        <v>139</v>
      </c>
      <c r="F19" s="23" t="s">
        <v>64</v>
      </c>
      <c r="G19" s="26" t="e">
        <f aca="false">ROUND(3*$H$3,0)</f>
        <v>#VALUE!</v>
      </c>
      <c r="H19" s="25" t="e">
        <f aca="false">$C$3+G19</f>
        <v>#VALUE!</v>
      </c>
      <c r="I19" s="52"/>
      <c r="J19" s="53" t="n">
        <f aca="false">IF(I19="Complete",1,IF(I19="Skipped",1,IF(I19="Blocked",0.5,IF(I19="In Progress",0.25,0))))</f>
        <v>0</v>
      </c>
      <c r="K19" s="54"/>
      <c r="L19" s="55"/>
      <c r="M19" s="56"/>
      <c r="N19" s="57" t="str">
        <f aca="false">IF(M19="","",M19-H19)</f>
        <v/>
      </c>
      <c r="O19" s="58" t="str">
        <f aca="false">IF(M19="","",ABS(M19-H19)*24)</f>
        <v/>
      </c>
      <c r="P19" s="23"/>
      <c r="Q19" s="63" t="s">
        <v>140</v>
      </c>
      <c r="R19" s="63" t="s">
        <v>141</v>
      </c>
      <c r="S19" s="63" t="s">
        <v>142</v>
      </c>
    </row>
    <row r="20" customFormat="false" ht="36" hidden="false" customHeight="true" outlineLevel="0" collapsed="false">
      <c r="A20" s="11" t="n">
        <v>15</v>
      </c>
      <c r="B20" s="64" t="s">
        <v>118</v>
      </c>
      <c r="C20" s="11" t="s">
        <v>143</v>
      </c>
      <c r="D20" s="65" t="s">
        <v>144</v>
      </c>
      <c r="E20" s="66" t="s">
        <v>145</v>
      </c>
      <c r="F20" s="11" t="s">
        <v>64</v>
      </c>
      <c r="G20" s="17" t="e">
        <f aca="false">ROUND(3*$H$3,0)</f>
        <v>#VALUE!</v>
      </c>
      <c r="H20" s="16" t="e">
        <f aca="false">$C$3+G20</f>
        <v>#VALUE!</v>
      </c>
      <c r="I20" s="52"/>
      <c r="J20" s="53" t="n">
        <f aca="false">IF(I20="Complete",1,IF(I20="Skipped",1,IF(I20="Blocked",0.5,IF(I20="In Progress",0.25,0))))</f>
        <v>0</v>
      </c>
      <c r="K20" s="54"/>
      <c r="L20" s="55"/>
      <c r="M20" s="56"/>
      <c r="N20" s="57" t="str">
        <f aca="false">IF(M20="","",M20-H20)</f>
        <v/>
      </c>
      <c r="O20" s="58" t="str">
        <f aca="false">IF(M20="","",ABS(M20-H20)*24)</f>
        <v/>
      </c>
      <c r="P20" s="11"/>
      <c r="Q20" s="67" t="s">
        <v>146</v>
      </c>
      <c r="R20" s="67" t="s">
        <v>147</v>
      </c>
      <c r="S20" s="67" t="s">
        <v>148</v>
      </c>
    </row>
    <row r="21" customFormat="false" ht="36" hidden="false" customHeight="true" outlineLevel="0" collapsed="false">
      <c r="A21" s="23" t="n">
        <v>16</v>
      </c>
      <c r="B21" s="60" t="s">
        <v>118</v>
      </c>
      <c r="C21" s="23" t="s">
        <v>149</v>
      </c>
      <c r="D21" s="61" t="s">
        <v>150</v>
      </c>
      <c r="E21" s="62" t="s">
        <v>151</v>
      </c>
      <c r="F21" s="23" t="s">
        <v>152</v>
      </c>
      <c r="G21" s="26" t="e">
        <f aca="false">ROUND(3*$H$3,0)</f>
        <v>#VALUE!</v>
      </c>
      <c r="H21" s="25" t="e">
        <f aca="false">$C$3+G21</f>
        <v>#VALUE!</v>
      </c>
      <c r="I21" s="52"/>
      <c r="J21" s="53" t="n">
        <f aca="false">IF(I21="Complete",1,IF(I21="Skipped",1,IF(I21="Blocked",0.5,IF(I21="In Progress",0.25,0))))</f>
        <v>0</v>
      </c>
      <c r="K21" s="54"/>
      <c r="L21" s="55"/>
      <c r="M21" s="56"/>
      <c r="N21" s="57" t="str">
        <f aca="false">IF(M21="","",M21-H21)</f>
        <v/>
      </c>
      <c r="O21" s="58" t="str">
        <f aca="false">IF(M21="","",ABS(M21-H21)*24)</f>
        <v/>
      </c>
      <c r="P21" s="23"/>
      <c r="Q21" s="63" t="s">
        <v>153</v>
      </c>
      <c r="R21" s="63" t="s">
        <v>154</v>
      </c>
      <c r="S21" s="63" t="s">
        <v>155</v>
      </c>
    </row>
    <row r="22" customFormat="false" ht="36" hidden="false" customHeight="true" outlineLevel="0" collapsed="false">
      <c r="A22" s="46" t="n">
        <v>17</v>
      </c>
      <c r="B22" s="47" t="s">
        <v>156</v>
      </c>
      <c r="C22" s="46" t="s">
        <v>157</v>
      </c>
      <c r="D22" s="48" t="s">
        <v>158</v>
      </c>
      <c r="E22" s="49" t="s">
        <v>159</v>
      </c>
      <c r="F22" s="46" t="s">
        <v>64</v>
      </c>
      <c r="G22" s="50" t="e">
        <f aca="false">ROUND(4*$H$3,0)</f>
        <v>#VALUE!</v>
      </c>
      <c r="H22" s="51" t="e">
        <f aca="false">$C$3+G22</f>
        <v>#VALUE!</v>
      </c>
      <c r="I22" s="52"/>
      <c r="J22" s="53" t="n">
        <f aca="false">IF(I22="Complete",1,IF(I22="Skipped",1,IF(I22="Blocked",0.5,IF(I22="In Progress",0.25,0))))</f>
        <v>0</v>
      </c>
      <c r="K22" s="54"/>
      <c r="L22" s="55"/>
      <c r="M22" s="56"/>
      <c r="N22" s="57" t="str">
        <f aca="false">IF(M22="","",M22-H22)</f>
        <v/>
      </c>
      <c r="O22" s="58" t="str">
        <f aca="false">IF(M22="","",ABS(M22-H22)*24)</f>
        <v/>
      </c>
      <c r="P22" s="46"/>
      <c r="Q22" s="59" t="s">
        <v>160</v>
      </c>
      <c r="R22" s="59" t="s">
        <v>161</v>
      </c>
      <c r="S22" s="59" t="s">
        <v>162</v>
      </c>
    </row>
    <row r="23" customFormat="false" ht="36" hidden="false" customHeight="true" outlineLevel="0" collapsed="false">
      <c r="A23" s="23" t="n">
        <v>18</v>
      </c>
      <c r="B23" s="60" t="s">
        <v>156</v>
      </c>
      <c r="C23" s="23" t="s">
        <v>163</v>
      </c>
      <c r="D23" s="61" t="s">
        <v>164</v>
      </c>
      <c r="E23" s="62" t="s">
        <v>165</v>
      </c>
      <c r="F23" s="23" t="s">
        <v>64</v>
      </c>
      <c r="G23" s="26" t="e">
        <f aca="false">ROUND(4*$H$3,0)</f>
        <v>#VALUE!</v>
      </c>
      <c r="H23" s="25" t="e">
        <f aca="false">$C$3+G23</f>
        <v>#VALUE!</v>
      </c>
      <c r="I23" s="52"/>
      <c r="J23" s="53" t="n">
        <f aca="false">IF(I23="Complete",1,IF(I23="Skipped",1,IF(I23="Blocked",0.5,IF(I23="In Progress",0.25,0))))</f>
        <v>0</v>
      </c>
      <c r="K23" s="54"/>
      <c r="L23" s="55"/>
      <c r="M23" s="56"/>
      <c r="N23" s="57" t="str">
        <f aca="false">IF(M23="","",M23-H23)</f>
        <v/>
      </c>
      <c r="O23" s="58" t="str">
        <f aca="false">IF(M23="","",ABS(M23-H23)*24)</f>
        <v/>
      </c>
      <c r="P23" s="23"/>
      <c r="Q23" s="63" t="s">
        <v>166</v>
      </c>
      <c r="R23" s="63" t="s">
        <v>167</v>
      </c>
      <c r="S23" s="63"/>
    </row>
    <row r="24" customFormat="false" ht="36" hidden="false" customHeight="true" outlineLevel="0" collapsed="false">
      <c r="A24" s="11" t="n">
        <v>19</v>
      </c>
      <c r="B24" s="64" t="s">
        <v>156</v>
      </c>
      <c r="C24" s="11" t="s">
        <v>168</v>
      </c>
      <c r="D24" s="65" t="s">
        <v>169</v>
      </c>
      <c r="E24" s="66" t="s">
        <v>170</v>
      </c>
      <c r="F24" s="11" t="s">
        <v>64</v>
      </c>
      <c r="G24" s="17" t="e">
        <f aca="false">ROUND(4*$H$3,0)</f>
        <v>#VALUE!</v>
      </c>
      <c r="H24" s="16" t="e">
        <f aca="false">$C$3+G24</f>
        <v>#VALUE!</v>
      </c>
      <c r="I24" s="52"/>
      <c r="J24" s="53" t="n">
        <f aca="false">IF(I24="Complete",1,IF(I24="Skipped",1,IF(I24="Blocked",0.5,IF(I24="In Progress",0.25,0))))</f>
        <v>0</v>
      </c>
      <c r="K24" s="54"/>
      <c r="L24" s="55"/>
      <c r="M24" s="56"/>
      <c r="N24" s="57" t="str">
        <f aca="false">IF(M24="","",M24-H24)</f>
        <v/>
      </c>
      <c r="O24" s="58" t="str">
        <f aca="false">IF(M24="","",ABS(M24-H24)*24)</f>
        <v/>
      </c>
      <c r="P24" s="11"/>
      <c r="Q24" s="67" t="s">
        <v>171</v>
      </c>
      <c r="R24" s="67" t="s">
        <v>172</v>
      </c>
      <c r="S24" s="67" t="s">
        <v>173</v>
      </c>
    </row>
    <row r="25" customFormat="false" ht="36" hidden="false" customHeight="true" outlineLevel="0" collapsed="false">
      <c r="A25" s="23" t="n">
        <v>20</v>
      </c>
      <c r="B25" s="60" t="s">
        <v>156</v>
      </c>
      <c r="C25" s="23" t="s">
        <v>174</v>
      </c>
      <c r="D25" s="61" t="s">
        <v>175</v>
      </c>
      <c r="E25" s="62" t="s">
        <v>176</v>
      </c>
      <c r="F25" s="23" t="s">
        <v>64</v>
      </c>
      <c r="G25" s="26" t="e">
        <f aca="false">ROUND(4*$H$3,0)</f>
        <v>#VALUE!</v>
      </c>
      <c r="H25" s="25" t="e">
        <f aca="false">$C$3+G25</f>
        <v>#VALUE!</v>
      </c>
      <c r="I25" s="52"/>
      <c r="J25" s="53" t="n">
        <f aca="false">IF(I25="Complete",1,IF(I25="Skipped",1,IF(I25="Blocked",0.5,IF(I25="In Progress",0.25,0))))</f>
        <v>0</v>
      </c>
      <c r="K25" s="54"/>
      <c r="L25" s="55"/>
      <c r="M25" s="56"/>
      <c r="N25" s="57" t="str">
        <f aca="false">IF(M25="","",M25-H25)</f>
        <v/>
      </c>
      <c r="O25" s="58" t="str">
        <f aca="false">IF(M25="","",ABS(M25-H25)*24)</f>
        <v/>
      </c>
      <c r="P25" s="23"/>
      <c r="Q25" s="63" t="s">
        <v>177</v>
      </c>
      <c r="R25" s="63" t="s">
        <v>178</v>
      </c>
      <c r="S25" s="63" t="s">
        <v>179</v>
      </c>
    </row>
    <row r="26" customFormat="false" ht="36" hidden="false" customHeight="true" outlineLevel="0" collapsed="false">
      <c r="A26" s="11" t="n">
        <v>21</v>
      </c>
      <c r="B26" s="64" t="s">
        <v>156</v>
      </c>
      <c r="C26" s="11" t="s">
        <v>180</v>
      </c>
      <c r="D26" s="65" t="s">
        <v>181</v>
      </c>
      <c r="E26" s="66" t="s">
        <v>182</v>
      </c>
      <c r="F26" s="11" t="s">
        <v>64</v>
      </c>
      <c r="G26" s="17" t="e">
        <f aca="false">ROUND(4*$H$3,0)</f>
        <v>#VALUE!</v>
      </c>
      <c r="H26" s="16" t="e">
        <f aca="false">$C$3+G26</f>
        <v>#VALUE!</v>
      </c>
      <c r="I26" s="52"/>
      <c r="J26" s="53" t="n">
        <f aca="false">IF(I26="Complete",1,IF(I26="Skipped",1,IF(I26="Blocked",0.5,IF(I26="In Progress",0.25,0))))</f>
        <v>0</v>
      </c>
      <c r="K26" s="54"/>
      <c r="L26" s="55"/>
      <c r="M26" s="56"/>
      <c r="N26" s="57" t="str">
        <f aca="false">IF(M26="","",M26-H26)</f>
        <v/>
      </c>
      <c r="O26" s="58" t="str">
        <f aca="false">IF(M26="","",ABS(M26-H26)*24)</f>
        <v/>
      </c>
      <c r="P26" s="11"/>
      <c r="Q26" s="67" t="s">
        <v>183</v>
      </c>
      <c r="R26" s="67" t="s">
        <v>184</v>
      </c>
      <c r="S26" s="67" t="s">
        <v>185</v>
      </c>
    </row>
    <row r="27" customFormat="false" ht="36" hidden="false" customHeight="true" outlineLevel="0" collapsed="false">
      <c r="A27" s="23" t="n">
        <v>22</v>
      </c>
      <c r="B27" s="60" t="s">
        <v>156</v>
      </c>
      <c r="C27" s="23" t="s">
        <v>186</v>
      </c>
      <c r="D27" s="61" t="s">
        <v>187</v>
      </c>
      <c r="E27" s="62" t="s">
        <v>188</v>
      </c>
      <c r="F27" s="23" t="s">
        <v>64</v>
      </c>
      <c r="G27" s="26" t="e">
        <f aca="false">ROUND(4*$H$3,0)</f>
        <v>#VALUE!</v>
      </c>
      <c r="H27" s="25" t="e">
        <f aca="false">$C$3+G27</f>
        <v>#VALUE!</v>
      </c>
      <c r="I27" s="52"/>
      <c r="J27" s="53" t="n">
        <f aca="false">IF(I27="Complete",1,IF(I27="Skipped",1,IF(I27="Blocked",0.5,IF(I27="In Progress",0.25,0))))</f>
        <v>0</v>
      </c>
      <c r="K27" s="54"/>
      <c r="L27" s="55"/>
      <c r="M27" s="56"/>
      <c r="N27" s="57" t="str">
        <f aca="false">IF(M27="","",M27-H27)</f>
        <v/>
      </c>
      <c r="O27" s="58" t="str">
        <f aca="false">IF(M27="","",ABS(M27-H27)*24)</f>
        <v/>
      </c>
      <c r="P27" s="23"/>
      <c r="Q27" s="63" t="s">
        <v>189</v>
      </c>
      <c r="R27" s="63" t="s">
        <v>190</v>
      </c>
      <c r="S27" s="63" t="s">
        <v>191</v>
      </c>
    </row>
    <row r="28" customFormat="false" ht="36" hidden="false" customHeight="true" outlineLevel="0" collapsed="false">
      <c r="A28" s="11" t="n">
        <v>23</v>
      </c>
      <c r="B28" s="64" t="s">
        <v>156</v>
      </c>
      <c r="C28" s="11" t="s">
        <v>192</v>
      </c>
      <c r="D28" s="65" t="s">
        <v>193</v>
      </c>
      <c r="E28" s="66" t="s">
        <v>194</v>
      </c>
      <c r="F28" s="11" t="s">
        <v>64</v>
      </c>
      <c r="G28" s="17" t="e">
        <f aca="false">ROUND(5*$H$3,0)</f>
        <v>#VALUE!</v>
      </c>
      <c r="H28" s="16" t="e">
        <f aca="false">$C$3+G28</f>
        <v>#VALUE!</v>
      </c>
      <c r="I28" s="52"/>
      <c r="J28" s="53" t="n">
        <f aca="false">IF(I28="Complete",1,IF(I28="Skipped",1,IF(I28="Blocked",0.5,IF(I28="In Progress",0.25,0))))</f>
        <v>0</v>
      </c>
      <c r="K28" s="54"/>
      <c r="L28" s="55"/>
      <c r="M28" s="56"/>
      <c r="N28" s="57" t="str">
        <f aca="false">IF(M28="","",M28-H28)</f>
        <v/>
      </c>
      <c r="O28" s="58" t="str">
        <f aca="false">IF(M28="","",ABS(M28-H28)*24)</f>
        <v/>
      </c>
      <c r="P28" s="11"/>
      <c r="Q28" s="67" t="s">
        <v>195</v>
      </c>
      <c r="R28" s="67" t="s">
        <v>196</v>
      </c>
      <c r="S28" s="67" t="s">
        <v>197</v>
      </c>
    </row>
    <row r="29" customFormat="false" ht="36" hidden="false" customHeight="true" outlineLevel="0" collapsed="false">
      <c r="A29" s="23" t="n">
        <v>24</v>
      </c>
      <c r="B29" s="60" t="s">
        <v>156</v>
      </c>
      <c r="C29" s="23" t="s">
        <v>198</v>
      </c>
      <c r="D29" s="61" t="s">
        <v>199</v>
      </c>
      <c r="E29" s="62" t="s">
        <v>200</v>
      </c>
      <c r="F29" s="23" t="s">
        <v>64</v>
      </c>
      <c r="G29" s="26" t="e">
        <f aca="false">ROUND(5*$H$3,0)</f>
        <v>#VALUE!</v>
      </c>
      <c r="H29" s="25" t="e">
        <f aca="false">$C$3+G29</f>
        <v>#VALUE!</v>
      </c>
      <c r="I29" s="52"/>
      <c r="J29" s="53" t="n">
        <f aca="false">IF(I29="Complete",1,IF(I29="Skipped",1,IF(I29="Blocked",0.5,IF(I29="In Progress",0.25,0))))</f>
        <v>0</v>
      </c>
      <c r="K29" s="54"/>
      <c r="L29" s="55"/>
      <c r="M29" s="56"/>
      <c r="N29" s="57" t="str">
        <f aca="false">IF(M29="","",M29-H29)</f>
        <v/>
      </c>
      <c r="O29" s="58" t="str">
        <f aca="false">IF(M29="","",ABS(M29-H29)*24)</f>
        <v/>
      </c>
      <c r="P29" s="23"/>
      <c r="Q29" s="63" t="s">
        <v>201</v>
      </c>
      <c r="R29" s="63" t="s">
        <v>202</v>
      </c>
      <c r="S29" s="63" t="s">
        <v>203</v>
      </c>
    </row>
    <row r="30" customFormat="false" ht="36" hidden="false" customHeight="true" outlineLevel="0" collapsed="false">
      <c r="A30" s="11" t="n">
        <v>25</v>
      </c>
      <c r="B30" s="64" t="s">
        <v>156</v>
      </c>
      <c r="C30" s="11" t="s">
        <v>204</v>
      </c>
      <c r="D30" s="65" t="s">
        <v>205</v>
      </c>
      <c r="E30" s="66" t="s">
        <v>206</v>
      </c>
      <c r="F30" s="11" t="s">
        <v>64</v>
      </c>
      <c r="G30" s="17" t="e">
        <f aca="false">ROUND(5*$H$3,0)</f>
        <v>#VALUE!</v>
      </c>
      <c r="H30" s="16" t="e">
        <f aca="false">$C$3+G30</f>
        <v>#VALUE!</v>
      </c>
      <c r="I30" s="52"/>
      <c r="J30" s="53" t="n">
        <f aca="false">IF(I30="Complete",1,IF(I30="Skipped",1,IF(I30="Blocked",0.5,IF(I30="In Progress",0.25,0))))</f>
        <v>0</v>
      </c>
      <c r="K30" s="54"/>
      <c r="L30" s="55"/>
      <c r="M30" s="56"/>
      <c r="N30" s="57" t="str">
        <f aca="false">IF(M30="","",M30-H30)</f>
        <v/>
      </c>
      <c r="O30" s="58" t="str">
        <f aca="false">IF(M30="","",ABS(M30-H30)*24)</f>
        <v/>
      </c>
      <c r="P30" s="11"/>
      <c r="Q30" s="67" t="s">
        <v>207</v>
      </c>
      <c r="R30" s="67" t="s">
        <v>208</v>
      </c>
      <c r="S30" s="67" t="s">
        <v>209</v>
      </c>
    </row>
    <row r="31" customFormat="false" ht="36" hidden="false" customHeight="true" outlineLevel="0" collapsed="false">
      <c r="A31" s="46" t="n">
        <v>26</v>
      </c>
      <c r="B31" s="47" t="s">
        <v>210</v>
      </c>
      <c r="C31" s="46" t="s">
        <v>211</v>
      </c>
      <c r="D31" s="48" t="s">
        <v>212</v>
      </c>
      <c r="E31" s="49" t="s">
        <v>213</v>
      </c>
      <c r="F31" s="46" t="s">
        <v>214</v>
      </c>
      <c r="G31" s="50" t="e">
        <f aca="false">ROUND(6*$H$3,0)</f>
        <v>#VALUE!</v>
      </c>
      <c r="H31" s="51" t="e">
        <f aca="false">$C$3+G31</f>
        <v>#VALUE!</v>
      </c>
      <c r="I31" s="52"/>
      <c r="J31" s="53" t="n">
        <f aca="false">IF(I31="Complete",1,IF(I31="Skipped",1,IF(I31="Blocked",0.5,IF(I31="In Progress",0.25,0))))</f>
        <v>0</v>
      </c>
      <c r="K31" s="54"/>
      <c r="L31" s="55"/>
      <c r="M31" s="56"/>
      <c r="N31" s="57" t="str">
        <f aca="false">IF(M31="","",M31-H31)</f>
        <v/>
      </c>
      <c r="O31" s="58" t="str">
        <f aca="false">IF(M31="","",ABS(M31-H31)*24)</f>
        <v/>
      </c>
      <c r="P31" s="46"/>
      <c r="Q31" s="59" t="s">
        <v>215</v>
      </c>
      <c r="R31" s="59" t="s">
        <v>216</v>
      </c>
      <c r="S31" s="59" t="s">
        <v>217</v>
      </c>
    </row>
    <row r="32" customFormat="false" ht="36" hidden="false" customHeight="true" outlineLevel="0" collapsed="false">
      <c r="A32" s="11" t="n">
        <v>27</v>
      </c>
      <c r="B32" s="64" t="s">
        <v>210</v>
      </c>
      <c r="C32" s="11" t="s">
        <v>218</v>
      </c>
      <c r="D32" s="65" t="s">
        <v>219</v>
      </c>
      <c r="E32" s="66" t="s">
        <v>220</v>
      </c>
      <c r="F32" s="11" t="s">
        <v>214</v>
      </c>
      <c r="G32" s="17" t="e">
        <f aca="false">ROUND(6*$H$3,0)</f>
        <v>#VALUE!</v>
      </c>
      <c r="H32" s="16" t="e">
        <f aca="false">$C$3+G32</f>
        <v>#VALUE!</v>
      </c>
      <c r="I32" s="52"/>
      <c r="J32" s="53" t="n">
        <f aca="false">IF(I32="Complete",1,IF(I32="Skipped",1,IF(I32="Blocked",0.5,IF(I32="In Progress",0.25,0))))</f>
        <v>0</v>
      </c>
      <c r="K32" s="54"/>
      <c r="L32" s="55"/>
      <c r="M32" s="56"/>
      <c r="N32" s="57" t="str">
        <f aca="false">IF(M32="","",M32-H32)</f>
        <v/>
      </c>
      <c r="O32" s="58" t="str">
        <f aca="false">IF(M32="","",ABS(M32-H32)*24)</f>
        <v/>
      </c>
      <c r="P32" s="11"/>
      <c r="Q32" s="67" t="s">
        <v>221</v>
      </c>
      <c r="R32" s="67" t="s">
        <v>222</v>
      </c>
      <c r="S32" s="67" t="s">
        <v>223</v>
      </c>
    </row>
    <row r="33" customFormat="false" ht="36" hidden="false" customHeight="true" outlineLevel="0" collapsed="false">
      <c r="A33" s="23" t="n">
        <v>28</v>
      </c>
      <c r="B33" s="60" t="s">
        <v>210</v>
      </c>
      <c r="C33" s="23" t="s">
        <v>224</v>
      </c>
      <c r="D33" s="61" t="s">
        <v>225</v>
      </c>
      <c r="E33" s="62" t="s">
        <v>226</v>
      </c>
      <c r="F33" s="23" t="s">
        <v>64</v>
      </c>
      <c r="G33" s="26" t="e">
        <f aca="false">ROUND(7*$H$3,0)</f>
        <v>#VALUE!</v>
      </c>
      <c r="H33" s="25" t="e">
        <f aca="false">$C$3+G33</f>
        <v>#VALUE!</v>
      </c>
      <c r="I33" s="52"/>
      <c r="J33" s="53" t="n">
        <f aca="false">IF(I33="Complete",1,IF(I33="Skipped",1,IF(I33="Blocked",0.5,IF(I33="In Progress",0.25,0))))</f>
        <v>0</v>
      </c>
      <c r="K33" s="54"/>
      <c r="L33" s="55"/>
      <c r="M33" s="56"/>
      <c r="N33" s="57" t="str">
        <f aca="false">IF(M33="","",M33-H33)</f>
        <v/>
      </c>
      <c r="O33" s="58" t="str">
        <f aca="false">IF(M33="","",ABS(M33-H33)*24)</f>
        <v/>
      </c>
      <c r="P33" s="23"/>
      <c r="Q33" s="63" t="s">
        <v>227</v>
      </c>
      <c r="R33" s="63" t="s">
        <v>228</v>
      </c>
      <c r="S33" s="63" t="s">
        <v>229</v>
      </c>
    </row>
    <row r="34" customFormat="false" ht="36" hidden="false" customHeight="true" outlineLevel="0" collapsed="false">
      <c r="A34" s="11" t="n">
        <v>29</v>
      </c>
      <c r="B34" s="64" t="s">
        <v>210</v>
      </c>
      <c r="C34" s="11" t="s">
        <v>230</v>
      </c>
      <c r="D34" s="65" t="s">
        <v>231</v>
      </c>
      <c r="E34" s="66" t="s">
        <v>232</v>
      </c>
      <c r="F34" s="11" t="s">
        <v>214</v>
      </c>
      <c r="G34" s="17" t="e">
        <f aca="false">ROUND(8*$H$3,0)</f>
        <v>#VALUE!</v>
      </c>
      <c r="H34" s="16" t="e">
        <f aca="false">$C$3+G34</f>
        <v>#VALUE!</v>
      </c>
      <c r="I34" s="52"/>
      <c r="J34" s="53" t="n">
        <f aca="false">IF(I34="Complete",1,IF(I34="Skipped",1,IF(I34="Blocked",0.5,IF(I34="In Progress",0.25,0))))</f>
        <v>0</v>
      </c>
      <c r="K34" s="54"/>
      <c r="L34" s="55"/>
      <c r="M34" s="56"/>
      <c r="N34" s="57" t="str">
        <f aca="false">IF(M34="","",M34-H34)</f>
        <v/>
      </c>
      <c r="O34" s="58" t="str">
        <f aca="false">IF(M34="","",ABS(M34-H34)*24)</f>
        <v/>
      </c>
      <c r="P34" s="11"/>
      <c r="Q34" s="67" t="s">
        <v>233</v>
      </c>
      <c r="R34" s="67" t="s">
        <v>66</v>
      </c>
      <c r="S34" s="67" t="s">
        <v>234</v>
      </c>
    </row>
    <row r="35" customFormat="false" ht="36" hidden="false" customHeight="true" outlineLevel="0" collapsed="false">
      <c r="A35" s="23" t="n">
        <v>30</v>
      </c>
      <c r="B35" s="60" t="s">
        <v>210</v>
      </c>
      <c r="C35" s="23" t="s">
        <v>235</v>
      </c>
      <c r="D35" s="61" t="s">
        <v>236</v>
      </c>
      <c r="E35" s="62" t="s">
        <v>237</v>
      </c>
      <c r="F35" s="23" t="s">
        <v>114</v>
      </c>
      <c r="G35" s="26" t="e">
        <f aca="false">ROUND(8*$H$3,0)</f>
        <v>#VALUE!</v>
      </c>
      <c r="H35" s="25" t="e">
        <f aca="false">$C$3+G35</f>
        <v>#VALUE!</v>
      </c>
      <c r="I35" s="52"/>
      <c r="J35" s="53" t="n">
        <f aca="false">IF(I35="Complete",1,IF(I35="Skipped",1,IF(I35="Blocked",0.5,IF(I35="In Progress",0.25,0))))</f>
        <v>0</v>
      </c>
      <c r="K35" s="54"/>
      <c r="L35" s="55"/>
      <c r="M35" s="56"/>
      <c r="N35" s="57" t="str">
        <f aca="false">IF(M35="","",M35-H35)</f>
        <v/>
      </c>
      <c r="O35" s="58" t="str">
        <f aca="false">IF(M35="","",ABS(M35-H35)*24)</f>
        <v/>
      </c>
      <c r="P35" s="23"/>
      <c r="Q35" s="63" t="s">
        <v>238</v>
      </c>
      <c r="R35" s="63" t="s">
        <v>239</v>
      </c>
      <c r="S35" s="63"/>
    </row>
    <row r="36" customFormat="false" ht="36" hidden="false" customHeight="true" outlineLevel="0" collapsed="false">
      <c r="A36" s="46" t="n">
        <v>31</v>
      </c>
      <c r="B36" s="47" t="s">
        <v>240</v>
      </c>
      <c r="C36" s="46" t="s">
        <v>241</v>
      </c>
      <c r="D36" s="48" t="s">
        <v>242</v>
      </c>
      <c r="E36" s="49" t="s">
        <v>243</v>
      </c>
      <c r="F36" s="46" t="s">
        <v>64</v>
      </c>
      <c r="G36" s="50" t="e">
        <f aca="false">ROUND(9*$H$3,0)</f>
        <v>#VALUE!</v>
      </c>
      <c r="H36" s="51" t="e">
        <f aca="false">$C$3+G36</f>
        <v>#VALUE!</v>
      </c>
      <c r="I36" s="52"/>
      <c r="J36" s="53" t="n">
        <f aca="false">IF(I36="Complete",1,IF(I36="Skipped",1,IF(I36="Blocked",0.5,IF(I36="In Progress",0.25,0))))</f>
        <v>0</v>
      </c>
      <c r="K36" s="54"/>
      <c r="L36" s="55"/>
      <c r="M36" s="56"/>
      <c r="N36" s="57" t="str">
        <f aca="false">IF(M36="","",M36-H36)</f>
        <v/>
      </c>
      <c r="O36" s="58" t="str">
        <f aca="false">IF(M36="","",ABS(M36-H36)*24)</f>
        <v/>
      </c>
      <c r="P36" s="46"/>
      <c r="Q36" s="59" t="s">
        <v>244</v>
      </c>
      <c r="R36" s="59" t="s">
        <v>245</v>
      </c>
      <c r="S36" s="59" t="s">
        <v>246</v>
      </c>
    </row>
    <row r="37" customFormat="false" ht="36" hidden="false" customHeight="true" outlineLevel="0" collapsed="false">
      <c r="A37" s="23" t="n">
        <v>32</v>
      </c>
      <c r="B37" s="60" t="s">
        <v>240</v>
      </c>
      <c r="C37" s="23" t="s">
        <v>247</v>
      </c>
      <c r="D37" s="61" t="s">
        <v>248</v>
      </c>
      <c r="E37" s="62" t="s">
        <v>249</v>
      </c>
      <c r="F37" s="23" t="s">
        <v>114</v>
      </c>
      <c r="G37" s="26" t="e">
        <f aca="false">ROUND(10*$H$3,0)</f>
        <v>#VALUE!</v>
      </c>
      <c r="H37" s="25" t="e">
        <f aca="false">$C$3+G37</f>
        <v>#VALUE!</v>
      </c>
      <c r="I37" s="52"/>
      <c r="J37" s="53" t="n">
        <f aca="false">IF(I37="Complete",1,IF(I37="Skipped",1,IF(I37="Blocked",0.5,IF(I37="In Progress",0.25,0))))</f>
        <v>0</v>
      </c>
      <c r="K37" s="54"/>
      <c r="L37" s="55"/>
      <c r="M37" s="56"/>
      <c r="N37" s="57" t="str">
        <f aca="false">IF(M37="","",M37-H37)</f>
        <v/>
      </c>
      <c r="O37" s="58" t="str">
        <f aca="false">IF(M37="","",ABS(M37-H37)*24)</f>
        <v/>
      </c>
      <c r="P37" s="23"/>
      <c r="Q37" s="63" t="s">
        <v>250</v>
      </c>
      <c r="R37" s="63" t="s">
        <v>251</v>
      </c>
      <c r="S37" s="63"/>
    </row>
    <row r="38" customFormat="false" ht="36" hidden="false" customHeight="true" outlineLevel="0" collapsed="false">
      <c r="A38" s="11" t="n">
        <v>33</v>
      </c>
      <c r="B38" s="64" t="s">
        <v>240</v>
      </c>
      <c r="C38" s="11" t="s">
        <v>252</v>
      </c>
      <c r="D38" s="65" t="s">
        <v>253</v>
      </c>
      <c r="E38" s="66" t="s">
        <v>254</v>
      </c>
      <c r="F38" s="11" t="s">
        <v>152</v>
      </c>
      <c r="G38" s="17" t="e">
        <f aca="false">ROUND(10*$H$3,0)</f>
        <v>#VALUE!</v>
      </c>
      <c r="H38" s="16" t="e">
        <f aca="false">$C$3+G38</f>
        <v>#VALUE!</v>
      </c>
      <c r="I38" s="52"/>
      <c r="J38" s="53" t="n">
        <f aca="false">IF(I38="Complete",1,IF(I38="Skipped",1,IF(I38="Blocked",0.5,IF(I38="In Progress",0.25,0))))</f>
        <v>0</v>
      </c>
      <c r="K38" s="54"/>
      <c r="L38" s="55"/>
      <c r="M38" s="56"/>
      <c r="N38" s="57" t="str">
        <f aca="false">IF(M38="","",M38-H38)</f>
        <v/>
      </c>
      <c r="O38" s="58" t="str">
        <f aca="false">IF(M38="","",ABS(M38-H38)*24)</f>
        <v/>
      </c>
      <c r="P38" s="11"/>
      <c r="Q38" s="67" t="s">
        <v>255</v>
      </c>
      <c r="R38" s="67" t="s">
        <v>256</v>
      </c>
      <c r="S38" s="67" t="s">
        <v>257</v>
      </c>
    </row>
    <row r="39" customFormat="false" ht="36" hidden="false" customHeight="true" outlineLevel="0" collapsed="false">
      <c r="A39" s="23" t="n">
        <v>34</v>
      </c>
      <c r="B39" s="60" t="s">
        <v>240</v>
      </c>
      <c r="C39" s="23" t="s">
        <v>258</v>
      </c>
      <c r="D39" s="61" t="s">
        <v>259</v>
      </c>
      <c r="E39" s="62" t="s">
        <v>260</v>
      </c>
      <c r="F39" s="23" t="s">
        <v>64</v>
      </c>
      <c r="G39" s="26" t="e">
        <f aca="false">ROUND(10*$H$3,0)</f>
        <v>#VALUE!</v>
      </c>
      <c r="H39" s="25" t="e">
        <f aca="false">$C$3+G39</f>
        <v>#VALUE!</v>
      </c>
      <c r="I39" s="52"/>
      <c r="J39" s="53" t="n">
        <f aca="false">IF(I39="Complete",1,IF(I39="Skipped",1,IF(I39="Blocked",0.5,IF(I39="In Progress",0.25,0))))</f>
        <v>0</v>
      </c>
      <c r="K39" s="54"/>
      <c r="L39" s="55"/>
      <c r="M39" s="56"/>
      <c r="N39" s="57" t="str">
        <f aca="false">IF(M39="","",M39-H39)</f>
        <v/>
      </c>
      <c r="O39" s="58" t="str">
        <f aca="false">IF(M39="","",ABS(M39-H39)*24)</f>
        <v/>
      </c>
      <c r="P39" s="23"/>
      <c r="Q39" s="63" t="s">
        <v>261</v>
      </c>
      <c r="R39" s="63" t="s">
        <v>262</v>
      </c>
      <c r="S39" s="63"/>
    </row>
    <row r="40" customFormat="false" ht="36" hidden="false" customHeight="true" outlineLevel="0" collapsed="false">
      <c r="A40" s="46" t="n">
        <v>35</v>
      </c>
      <c r="B40" s="47" t="s">
        <v>263</v>
      </c>
      <c r="C40" s="46" t="s">
        <v>264</v>
      </c>
      <c r="D40" s="48" t="s">
        <v>265</v>
      </c>
      <c r="E40" s="49" t="s">
        <v>266</v>
      </c>
      <c r="F40" s="46" t="s">
        <v>64</v>
      </c>
      <c r="G40" s="50" t="e">
        <f aca="false">ROUND(10*$H$3,0)</f>
        <v>#VALUE!</v>
      </c>
      <c r="H40" s="51" t="e">
        <f aca="false">$C$3+G40</f>
        <v>#VALUE!</v>
      </c>
      <c r="I40" s="52"/>
      <c r="J40" s="53" t="n">
        <f aca="false">IF(I40="Complete",1,IF(I40="Skipped",1,IF(I40="Blocked",0.5,IF(I40="In Progress",0.25,0))))</f>
        <v>0</v>
      </c>
      <c r="K40" s="54"/>
      <c r="L40" s="55"/>
      <c r="M40" s="56"/>
      <c r="N40" s="57" t="str">
        <f aca="false">IF(M40="","",M40-H40)</f>
        <v/>
      </c>
      <c r="O40" s="58" t="str">
        <f aca="false">IF(M40="","",ABS(M40-H40)*24)</f>
        <v/>
      </c>
      <c r="P40" s="46"/>
      <c r="Q40" s="59" t="s">
        <v>267</v>
      </c>
      <c r="R40" s="59" t="s">
        <v>268</v>
      </c>
      <c r="S40" s="59" t="s">
        <v>269</v>
      </c>
    </row>
    <row r="41" customFormat="false" ht="36" hidden="false" customHeight="true" outlineLevel="0" collapsed="false">
      <c r="A41" s="46" t="n">
        <v>36</v>
      </c>
      <c r="B41" s="47" t="s">
        <v>270</v>
      </c>
      <c r="C41" s="46" t="s">
        <v>271</v>
      </c>
      <c r="D41" s="48" t="s">
        <v>272</v>
      </c>
      <c r="E41" s="49" t="s">
        <v>273</v>
      </c>
      <c r="F41" s="46" t="s">
        <v>214</v>
      </c>
      <c r="G41" s="50" t="e">
        <f aca="false">ROUND(11*$H$3,0)</f>
        <v>#VALUE!</v>
      </c>
      <c r="H41" s="51" t="e">
        <f aca="false">$C$3+G41</f>
        <v>#VALUE!</v>
      </c>
      <c r="I41" s="52"/>
      <c r="J41" s="53" t="n">
        <f aca="false">IF(I41="Complete",1,IF(I41="Skipped",1,IF(I41="Blocked",0.5,IF(I41="In Progress",0.25,0))))</f>
        <v>0</v>
      </c>
      <c r="K41" s="54"/>
      <c r="L41" s="55"/>
      <c r="M41" s="56"/>
      <c r="N41" s="57" t="str">
        <f aca="false">IF(M41="","",M41-H41)</f>
        <v/>
      </c>
      <c r="O41" s="58" t="str">
        <f aca="false">IF(M41="","",ABS(M41-H41)*24)</f>
        <v/>
      </c>
      <c r="P41" s="46"/>
      <c r="Q41" s="59" t="s">
        <v>274</v>
      </c>
      <c r="R41" s="59" t="s">
        <v>275</v>
      </c>
      <c r="S41" s="59" t="s">
        <v>276</v>
      </c>
    </row>
    <row r="42" customFormat="false" ht="36" hidden="false" customHeight="true" outlineLevel="0" collapsed="false">
      <c r="A42" s="11" t="n">
        <v>37</v>
      </c>
      <c r="B42" s="64" t="s">
        <v>270</v>
      </c>
      <c r="C42" s="11" t="s">
        <v>277</v>
      </c>
      <c r="D42" s="65" t="s">
        <v>278</v>
      </c>
      <c r="E42" s="66" t="s">
        <v>279</v>
      </c>
      <c r="F42" s="11" t="s">
        <v>64</v>
      </c>
      <c r="G42" s="17" t="e">
        <f aca="false">ROUND(11*$H$3,0)</f>
        <v>#VALUE!</v>
      </c>
      <c r="H42" s="16" t="e">
        <f aca="false">$C$3+G42</f>
        <v>#VALUE!</v>
      </c>
      <c r="I42" s="52"/>
      <c r="J42" s="53" t="n">
        <f aca="false">IF(I42="Complete",1,IF(I42="Skipped",1,IF(I42="Blocked",0.5,IF(I42="In Progress",0.25,0))))</f>
        <v>0</v>
      </c>
      <c r="K42" s="54"/>
      <c r="L42" s="55"/>
      <c r="M42" s="56"/>
      <c r="N42" s="57" t="str">
        <f aca="false">IF(M42="","",M42-H42)</f>
        <v/>
      </c>
      <c r="O42" s="58" t="str">
        <f aca="false">IF(M42="","",ABS(M42-H42)*24)</f>
        <v/>
      </c>
      <c r="P42" s="11"/>
      <c r="Q42" s="67" t="s">
        <v>280</v>
      </c>
      <c r="R42" s="67" t="s">
        <v>281</v>
      </c>
      <c r="S42" s="67" t="s">
        <v>282</v>
      </c>
    </row>
    <row r="43" customFormat="false" ht="36" hidden="false" customHeight="true" outlineLevel="0" collapsed="false">
      <c r="A43" s="23" t="n">
        <v>38</v>
      </c>
      <c r="B43" s="60" t="s">
        <v>270</v>
      </c>
      <c r="C43" s="23" t="s">
        <v>283</v>
      </c>
      <c r="D43" s="61" t="s">
        <v>284</v>
      </c>
      <c r="E43" s="62" t="s">
        <v>285</v>
      </c>
      <c r="F43" s="23" t="s">
        <v>114</v>
      </c>
      <c r="G43" s="26" t="e">
        <f aca="false">ROUND(11*$H$3,0)</f>
        <v>#VALUE!</v>
      </c>
      <c r="H43" s="25" t="e">
        <f aca="false">$C$3+G43</f>
        <v>#VALUE!</v>
      </c>
      <c r="I43" s="52"/>
      <c r="J43" s="53" t="n">
        <f aca="false">IF(I43="Complete",1,IF(I43="Skipped",1,IF(I43="Blocked",0.5,IF(I43="In Progress",0.25,0))))</f>
        <v>0</v>
      </c>
      <c r="K43" s="54"/>
      <c r="L43" s="55"/>
      <c r="M43" s="56"/>
      <c r="N43" s="57" t="str">
        <f aca="false">IF(M43="","",M43-H43)</f>
        <v/>
      </c>
      <c r="O43" s="58" t="str">
        <f aca="false">IF(M43="","",ABS(M43-H43)*24)</f>
        <v/>
      </c>
      <c r="P43" s="23"/>
      <c r="Q43" s="63" t="s">
        <v>286</v>
      </c>
      <c r="R43" s="63" t="s">
        <v>287</v>
      </c>
      <c r="S43" s="63"/>
    </row>
    <row r="44" customFormat="false" ht="36" hidden="false" customHeight="true" outlineLevel="0" collapsed="false">
      <c r="A44" s="46" t="n">
        <v>39</v>
      </c>
      <c r="B44" s="47" t="s">
        <v>288</v>
      </c>
      <c r="C44" s="46" t="s">
        <v>289</v>
      </c>
      <c r="D44" s="48" t="s">
        <v>290</v>
      </c>
      <c r="E44" s="49" t="s">
        <v>291</v>
      </c>
      <c r="F44" s="46" t="s">
        <v>64</v>
      </c>
      <c r="G44" s="50" t="e">
        <f aca="false">ROUND(12*$H$3,0)</f>
        <v>#VALUE!</v>
      </c>
      <c r="H44" s="51" t="e">
        <f aca="false">$C$3+G44</f>
        <v>#VALUE!</v>
      </c>
      <c r="I44" s="52"/>
      <c r="J44" s="53" t="n">
        <f aca="false">IF(I44="Complete",1,IF(I44="Skipped",1,IF(I44="Blocked",0.5,IF(I44="In Progress",0.25,0))))</f>
        <v>0</v>
      </c>
      <c r="K44" s="54"/>
      <c r="L44" s="55"/>
      <c r="M44" s="56"/>
      <c r="N44" s="57" t="str">
        <f aca="false">IF(M44="","",M44-H44)</f>
        <v/>
      </c>
      <c r="O44" s="58" t="str">
        <f aca="false">IF(M44="","",ABS(M44-H44)*24)</f>
        <v/>
      </c>
      <c r="P44" s="46"/>
      <c r="Q44" s="59" t="s">
        <v>292</v>
      </c>
      <c r="R44" s="59" t="s">
        <v>293</v>
      </c>
      <c r="S44" s="59" t="s">
        <v>294</v>
      </c>
    </row>
    <row r="45" customFormat="false" ht="36" hidden="false" customHeight="true" outlineLevel="0" collapsed="false">
      <c r="A45" s="23" t="n">
        <v>40</v>
      </c>
      <c r="B45" s="60" t="s">
        <v>288</v>
      </c>
      <c r="C45" s="23" t="s">
        <v>295</v>
      </c>
      <c r="D45" s="61" t="s">
        <v>296</v>
      </c>
      <c r="E45" s="62" t="s">
        <v>297</v>
      </c>
      <c r="F45" s="23" t="s">
        <v>64</v>
      </c>
      <c r="G45" s="26" t="e">
        <f aca="false">ROUND(12*$H$3,0)</f>
        <v>#VALUE!</v>
      </c>
      <c r="H45" s="25" t="e">
        <f aca="false">$C$3+G45</f>
        <v>#VALUE!</v>
      </c>
      <c r="I45" s="52"/>
      <c r="J45" s="53" t="n">
        <f aca="false">IF(I45="Complete",1,IF(I45="Skipped",1,IF(I45="Blocked",0.5,IF(I45="In Progress",0.25,0))))</f>
        <v>0</v>
      </c>
      <c r="K45" s="54"/>
      <c r="L45" s="55"/>
      <c r="M45" s="56"/>
      <c r="N45" s="57" t="str">
        <f aca="false">IF(M45="","",M45-H45)</f>
        <v/>
      </c>
      <c r="O45" s="58" t="str">
        <f aca="false">IF(M45="","",ABS(M45-H45)*24)</f>
        <v/>
      </c>
      <c r="P45" s="23"/>
      <c r="Q45" s="63" t="s">
        <v>298</v>
      </c>
      <c r="R45" s="63" t="s">
        <v>299</v>
      </c>
      <c r="S45" s="63" t="s">
        <v>300</v>
      </c>
    </row>
    <row r="46" customFormat="false" ht="36" hidden="false" customHeight="true" outlineLevel="0" collapsed="false">
      <c r="A46" s="11" t="n">
        <v>41</v>
      </c>
      <c r="B46" s="64" t="s">
        <v>288</v>
      </c>
      <c r="C46" s="11" t="s">
        <v>301</v>
      </c>
      <c r="D46" s="65" t="s">
        <v>302</v>
      </c>
      <c r="E46" s="66" t="s">
        <v>303</v>
      </c>
      <c r="F46" s="11" t="s">
        <v>114</v>
      </c>
      <c r="G46" s="17" t="e">
        <f aca="false">ROUND(12*$H$3,0)</f>
        <v>#VALUE!</v>
      </c>
      <c r="H46" s="16" t="e">
        <f aca="false">$C$3+G46</f>
        <v>#VALUE!</v>
      </c>
      <c r="I46" s="52"/>
      <c r="J46" s="53" t="n">
        <f aca="false">IF(I46="Complete",1,IF(I46="Skipped",1,IF(I46="Blocked",0.5,IF(I46="In Progress",0.25,0))))</f>
        <v>0</v>
      </c>
      <c r="K46" s="54"/>
      <c r="L46" s="55"/>
      <c r="M46" s="56"/>
      <c r="N46" s="57" t="str">
        <f aca="false">IF(M46="","",M46-H46)</f>
        <v/>
      </c>
      <c r="O46" s="58" t="str">
        <f aca="false">IF(M46="","",ABS(M46-H46)*24)</f>
        <v/>
      </c>
      <c r="P46" s="11"/>
      <c r="Q46" s="67" t="s">
        <v>304</v>
      </c>
      <c r="R46" s="67" t="s">
        <v>305</v>
      </c>
      <c r="S46" s="67" t="s">
        <v>306</v>
      </c>
    </row>
    <row r="47" customFormat="false" ht="36" hidden="false" customHeight="true" outlineLevel="0" collapsed="false">
      <c r="A47" s="23" t="n">
        <v>42</v>
      </c>
      <c r="B47" s="60" t="s">
        <v>288</v>
      </c>
      <c r="C47" s="23" t="s">
        <v>307</v>
      </c>
      <c r="D47" s="61" t="s">
        <v>308</v>
      </c>
      <c r="E47" s="62" t="s">
        <v>309</v>
      </c>
      <c r="F47" s="23" t="s">
        <v>64</v>
      </c>
      <c r="G47" s="26" t="e">
        <f aca="false">ROUND(13*$H$3,0)</f>
        <v>#VALUE!</v>
      </c>
      <c r="H47" s="25" t="e">
        <f aca="false">$C$3+G47</f>
        <v>#VALUE!</v>
      </c>
      <c r="I47" s="52"/>
      <c r="J47" s="53" t="n">
        <f aca="false">IF(I47="Complete",1,IF(I47="Skipped",1,IF(I47="Blocked",0.5,IF(I47="In Progress",0.25,0))))</f>
        <v>0</v>
      </c>
      <c r="K47" s="54"/>
      <c r="L47" s="55"/>
      <c r="M47" s="56"/>
      <c r="N47" s="57" t="str">
        <f aca="false">IF(M47="","",M47-H47)</f>
        <v/>
      </c>
      <c r="O47" s="58" t="str">
        <f aca="false">IF(M47="","",ABS(M47-H47)*24)</f>
        <v/>
      </c>
      <c r="P47" s="23"/>
      <c r="Q47" s="63" t="s">
        <v>310</v>
      </c>
      <c r="R47" s="63" t="s">
        <v>311</v>
      </c>
      <c r="S47" s="63" t="s">
        <v>312</v>
      </c>
    </row>
    <row r="48" customFormat="false" ht="36" hidden="false" customHeight="true" outlineLevel="0" collapsed="false">
      <c r="A48" s="11" t="n">
        <v>43</v>
      </c>
      <c r="B48" s="64" t="s">
        <v>288</v>
      </c>
      <c r="C48" s="11" t="s">
        <v>313</v>
      </c>
      <c r="D48" s="65" t="s">
        <v>314</v>
      </c>
      <c r="E48" s="66" t="s">
        <v>315</v>
      </c>
      <c r="F48" s="11" t="s">
        <v>214</v>
      </c>
      <c r="G48" s="17" t="e">
        <f aca="false">ROUND(13*$H$3,0)</f>
        <v>#VALUE!</v>
      </c>
      <c r="H48" s="16" t="e">
        <f aca="false">$C$3+G48</f>
        <v>#VALUE!</v>
      </c>
      <c r="I48" s="52"/>
      <c r="J48" s="53" t="n">
        <f aca="false">IF(I48="Complete",1,IF(I48="Skipped",1,IF(I48="Blocked",0.5,IF(I48="In Progress",0.25,0))))</f>
        <v>0</v>
      </c>
      <c r="K48" s="54"/>
      <c r="L48" s="55"/>
      <c r="M48" s="56"/>
      <c r="N48" s="57" t="str">
        <f aca="false">IF(M48="","",M48-H48)</f>
        <v/>
      </c>
      <c r="O48" s="58" t="str">
        <f aca="false">IF(M48="","",ABS(M48-H48)*24)</f>
        <v/>
      </c>
      <c r="P48" s="11"/>
      <c r="Q48" s="67" t="s">
        <v>316</v>
      </c>
      <c r="R48" s="67" t="s">
        <v>317</v>
      </c>
      <c r="S48" s="67" t="s">
        <v>318</v>
      </c>
    </row>
    <row r="49" customFormat="false" ht="36" hidden="false" customHeight="true" outlineLevel="0" collapsed="false">
      <c r="A49" s="23" t="n">
        <v>44</v>
      </c>
      <c r="B49" s="60" t="s">
        <v>288</v>
      </c>
      <c r="C49" s="23" t="s">
        <v>319</v>
      </c>
      <c r="D49" s="61" t="s">
        <v>320</v>
      </c>
      <c r="E49" s="62" t="s">
        <v>321</v>
      </c>
      <c r="F49" s="23" t="s">
        <v>64</v>
      </c>
      <c r="G49" s="26" t="e">
        <f aca="false">ROUND(14*$H$3,0)</f>
        <v>#VALUE!</v>
      </c>
      <c r="H49" s="25" t="e">
        <f aca="false">$C$3+G49</f>
        <v>#VALUE!</v>
      </c>
      <c r="I49" s="52"/>
      <c r="J49" s="53" t="n">
        <f aca="false">IF(I49="Complete",1,IF(I49="Skipped",1,IF(I49="Blocked",0.5,IF(I49="In Progress",0.25,0))))</f>
        <v>0</v>
      </c>
      <c r="K49" s="54"/>
      <c r="L49" s="55"/>
      <c r="M49" s="56"/>
      <c r="N49" s="57" t="str">
        <f aca="false">IF(M49="","",M49-H49)</f>
        <v/>
      </c>
      <c r="O49" s="58" t="str">
        <f aca="false">IF(M49="","",ABS(M49-H49)*24)</f>
        <v/>
      </c>
      <c r="P49" s="23"/>
      <c r="Q49" s="63" t="s">
        <v>322</v>
      </c>
      <c r="R49" s="63" t="s">
        <v>323</v>
      </c>
      <c r="S49" s="63" t="s">
        <v>324</v>
      </c>
    </row>
    <row r="50" customFormat="false" ht="36" hidden="false" customHeight="true" outlineLevel="0" collapsed="false">
      <c r="A50" s="11" t="n">
        <v>45</v>
      </c>
      <c r="B50" s="64" t="s">
        <v>288</v>
      </c>
      <c r="C50" s="11" t="s">
        <v>325</v>
      </c>
      <c r="D50" s="65" t="s">
        <v>326</v>
      </c>
      <c r="E50" s="66" t="s">
        <v>327</v>
      </c>
      <c r="F50" s="11" t="s">
        <v>64</v>
      </c>
      <c r="G50" s="17" t="e">
        <f aca="false">ROUND(14*$H$3,0)</f>
        <v>#VALUE!</v>
      </c>
      <c r="H50" s="16" t="e">
        <f aca="false">$C$3+G50</f>
        <v>#VALUE!</v>
      </c>
      <c r="I50" s="52"/>
      <c r="J50" s="53" t="n">
        <f aca="false">IF(I50="Complete",1,IF(I50="Skipped",1,IF(I50="Blocked",0.5,IF(I50="In Progress",0.25,0))))</f>
        <v>0</v>
      </c>
      <c r="K50" s="54"/>
      <c r="L50" s="55"/>
      <c r="M50" s="56"/>
      <c r="N50" s="57" t="str">
        <f aca="false">IF(M50="","",M50-H50)</f>
        <v/>
      </c>
      <c r="O50" s="58" t="str">
        <f aca="false">IF(M50="","",ABS(M50-H50)*24)</f>
        <v/>
      </c>
      <c r="P50" s="11"/>
      <c r="Q50" s="67" t="s">
        <v>328</v>
      </c>
      <c r="R50" s="67" t="s">
        <v>66</v>
      </c>
      <c r="S50" s="67" t="s">
        <v>329</v>
      </c>
    </row>
    <row r="51" customFormat="false" ht="36" hidden="false" customHeight="true" outlineLevel="0" collapsed="false">
      <c r="A51" s="23" t="n">
        <v>46</v>
      </c>
      <c r="B51" s="60" t="s">
        <v>288</v>
      </c>
      <c r="C51" s="23" t="s">
        <v>330</v>
      </c>
      <c r="D51" s="61" t="s">
        <v>331</v>
      </c>
      <c r="E51" s="62" t="s">
        <v>332</v>
      </c>
      <c r="F51" s="23" t="s">
        <v>114</v>
      </c>
      <c r="G51" s="26" t="e">
        <f aca="false">ROUND(14*$H$3,0)</f>
        <v>#VALUE!</v>
      </c>
      <c r="H51" s="25" t="e">
        <f aca="false">$C$3+G51</f>
        <v>#VALUE!</v>
      </c>
      <c r="I51" s="52"/>
      <c r="J51" s="53" t="n">
        <f aca="false">IF(I51="Complete",1,IF(I51="Skipped",1,IF(I51="Blocked",0.5,IF(I51="In Progress",0.25,0))))</f>
        <v>0</v>
      </c>
      <c r="K51" s="54"/>
      <c r="L51" s="55"/>
      <c r="M51" s="56"/>
      <c r="N51" s="57" t="str">
        <f aca="false">IF(M51="","",M51-H51)</f>
        <v/>
      </c>
      <c r="O51" s="58" t="str">
        <f aca="false">IF(M51="","",ABS(M51-H51)*24)</f>
        <v/>
      </c>
      <c r="P51" s="23"/>
      <c r="Q51" s="63" t="s">
        <v>333</v>
      </c>
      <c r="R51" s="63" t="s">
        <v>116</v>
      </c>
      <c r="S51" s="63" t="s">
        <v>334</v>
      </c>
    </row>
    <row r="53" customFormat="false" ht="15" hidden="false" customHeight="true" outlineLevel="0" collapsed="false">
      <c r="A53" s="9" t="s">
        <v>335</v>
      </c>
      <c r="B53" s="9"/>
      <c r="C53" s="9"/>
      <c r="D53" s="9"/>
      <c r="E53" s="9"/>
      <c r="F53" s="9"/>
      <c r="G53" s="31"/>
      <c r="H53" s="31"/>
      <c r="I53" s="68" t="s">
        <v>336</v>
      </c>
      <c r="J53" s="69" t="n">
        <f aca="false">AVERAGE(J6:J51)</f>
        <v>0</v>
      </c>
      <c r="K53" s="31"/>
      <c r="L53" s="68" t="s">
        <v>337</v>
      </c>
      <c r="M53" s="9" t="n">
        <f aca="false">SUMPRODUCT((M6:M51&lt;&gt;"")*1)</f>
        <v>0</v>
      </c>
      <c r="N53" s="31"/>
      <c r="O53" s="33" t="n">
        <f aca="false">SUM(O6:O51)</f>
        <v>0</v>
      </c>
      <c r="P53" s="31"/>
      <c r="Q53" s="31"/>
      <c r="R53" s="31"/>
      <c r="S53" s="31"/>
    </row>
    <row r="54" customFormat="false" ht="15" hidden="false" customHeight="false" outlineLevel="0" collapsed="false">
      <c r="M54" s="70" t="s">
        <v>338</v>
      </c>
      <c r="N54" s="71" t="str">
        <f aca="false">IFERROR(AVERAGE(N6:N51),"")</f>
        <v/>
      </c>
    </row>
    <row r="55" customFormat="false" ht="15" hidden="false" customHeight="false" outlineLevel="0" collapsed="false">
      <c r="M55" s="70" t="s">
        <v>339</v>
      </c>
      <c r="N55" s="72" t="n">
        <f aca="false">IFERROR(MAX(N6:N51),"")</f>
        <v>0</v>
      </c>
    </row>
  </sheetData>
  <autoFilter ref="A5:S5"/>
  <mergeCells count="5">
    <mergeCell ref="A1:S1"/>
    <mergeCell ref="A3:B3"/>
    <mergeCell ref="E3:F3"/>
    <mergeCell ref="I3:J3"/>
    <mergeCell ref="A53:F53"/>
  </mergeCells>
  <conditionalFormatting sqref="I6:I51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0">
      <formula>"Skipped"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2">
      <formula>"In Progress"</formula>
    </cfRule>
  </conditionalFormatting>
  <conditionalFormatting sqref="J6:J51">
    <cfRule type="expression" priority="6" aboveAverage="0" equalAverage="0" bottom="0" percent="0" rank="0" text="" dxfId="14">
      <formula>$J6=1</formula>
    </cfRule>
    <cfRule type="expression" priority="7" aboveAverage="0" equalAverage="0" bottom="0" percent="0" rank="0" text="" dxfId="15">
      <formula>$J6&gt;=0.5</formula>
    </cfRule>
    <cfRule type="expression" priority="8" aboveAverage="0" equalAverage="0" bottom="0" percent="0" rank="0" text="" dxfId="16">
      <formula>$J6&gt;=0.25</formula>
    </cfRule>
  </conditionalFormatting>
  <conditionalFormatting sqref="K6:K51">
    <cfRule type="expression" priority="9" aboveAverage="0" equalAverage="0" bottom="0" percent="0" rank="0" text="" dxfId="17">
      <formula>AND($I6="Complete",$K6="")</formula>
    </cfRule>
    <cfRule type="expression" priority="10" aboveAverage="0" equalAverage="0" bottom="0" percent="0" rank="0" text="" dxfId="14">
      <formula>AND(OR($I6="Complete",$I6="Skipped"),$K6&lt;&gt;"")</formula>
    </cfRule>
  </conditionalFormatting>
  <conditionalFormatting sqref="L6:L51">
    <cfRule type="expression" priority="11" aboveAverage="0" equalAverage="0" bottom="0" percent="0" rank="0" text="" dxfId="17">
      <formula>AND($I6="Complete",$L6="")</formula>
    </cfRule>
    <cfRule type="expression" priority="12" aboveAverage="0" equalAverage="0" bottom="0" percent="0" rank="0" text="" dxfId="18">
      <formula>AND($I6="In Progress",$L6="")</formula>
    </cfRule>
  </conditionalFormatting>
  <conditionalFormatting sqref="M6:M51">
    <cfRule type="expression" priority="13" aboveAverage="0" equalAverage="0" bottom="0" percent="0" rank="0" text="" dxfId="17">
      <formula>AND($I6="Complete",$M6="")</formula>
    </cfRule>
    <cfRule type="expression" priority="14" aboveAverage="0" equalAverage="0" bottom="0" percent="0" rank="0" text="" dxfId="14">
      <formula>AND($I6="Complete",$M6&lt;&gt;"")</formula>
    </cfRule>
  </conditionalFormatting>
  <conditionalFormatting sqref="A6:S51">
    <cfRule type="expression" priority="15" aboveAverage="0" equalAverage="0" bottom="0" percent="0" rank="0" text="" dxfId="19">
      <formula>AND($M6&lt;&gt;"",$N6&gt;=5)</formula>
    </cfRule>
    <cfRule type="expression" priority="16" aboveAverage="0" equalAverage="0" bottom="0" percent="0" rank="0" text="" dxfId="19">
      <formula>AND($M6&lt;&gt;"",$N6&gt;=4)</formula>
    </cfRule>
    <cfRule type="expression" priority="17" aboveAverage="0" equalAverage="0" bottom="0" percent="0" rank="0" text="" dxfId="20">
      <formula>AND($M6&lt;&gt;"",$N6&gt;=3)</formula>
    </cfRule>
    <cfRule type="expression" priority="18" aboveAverage="0" equalAverage="0" bottom="0" percent="0" rank="0" text="" dxfId="20">
      <formula>AND($M6&lt;&gt;"",$N6&gt;=2)</formula>
    </cfRule>
    <cfRule type="expression" priority="19" aboveAverage="0" equalAverage="0" bottom="0" percent="0" rank="0" text="" dxfId="21">
      <formula>AND($M6&lt;&gt;"",$N6&gt;=1)</formula>
    </cfRule>
    <cfRule type="expression" priority="20" aboveAverage="0" equalAverage="0" bottom="0" percent="0" rank="0" text="" dxfId="22">
      <formula>AND($M6&lt;&gt;"",$N6&lt;=0)</formula>
    </cfRule>
  </conditionalFormatting>
  <conditionalFormatting sqref="N6:N51">
    <cfRule type="expression" priority="21" aboveAverage="0" equalAverage="0" bottom="0" percent="0" rank="0" text="" dxfId="23">
      <formula>AND($M6&lt;&gt;"",$N6&gt;=5)</formula>
    </cfRule>
    <cfRule type="expression" priority="22" aboveAverage="0" equalAverage="0" bottom="0" percent="0" rank="0" text="" dxfId="24">
      <formula>AND($M6&lt;&gt;"",$N6&gt;=3)</formula>
    </cfRule>
    <cfRule type="expression" priority="23" aboveAverage="0" equalAverage="0" bottom="0" percent="0" rank="0" text="" dxfId="25">
      <formula>AND($M6&lt;&gt;"",$N6&gt;=1)</formula>
    </cfRule>
    <cfRule type="expression" priority="24" aboveAverage="0" equalAverage="0" bottom="0" percent="0" rank="0" text="" dxfId="26">
      <formula>AND($M6&lt;&gt;"",$N6&lt;=0)</formula>
    </cfRule>
  </conditionalFormatting>
  <dataValidations count="3">
    <dataValidation allowBlank="true" errorStyle="stop" operator="between" prompt="Complete needs: sign-off name + report link + completed date" promptTitle="Status" showDropDown="false" showErrorMessage="false" showInputMessage="true" sqref="I6:I51" type="list">
      <formula1>"Not Started,In Progress,Blocked,Complete,Skipped"</formula1>
      <formula2>0</formula2>
    </dataValidation>
    <dataValidation allowBlank="true" errorStyle="stop" operator="between" prompt="Select team member" promptTitle="Sign Off" showDropDown="false" showErrorMessage="false" showInputMessage="true" sqref="K6:K51" type="list">
      <formula1>TeamMembers</formula1>
      <formula2>0</formula2>
    </dataValidation>
    <dataValidation allowBlank="true" error="Enter a valid date (YYYY-MM-DD)" errorStyle="stop" errorTitle="Invalid Date" operator="greaterThan" prompt="Type the completion date (YYYY-MM-DD)" promptTitle="Completed Date" showDropDown="false" showErrorMessage="true" showInputMessage="true" sqref="M6:M51" type="date">
      <formula1>2020-1-1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tru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4" min="14" style="0" width="7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46"/>
    <col collapsed="false" customWidth="true" hidden="false" outlineLevel="0" max="19" min="18" style="0" width="38"/>
  </cols>
  <sheetData>
    <row r="1" customFormat="false" ht="17.35" hidden="false" customHeight="false" outlineLevel="0" collapsed="false">
      <c r="A1" s="1" t="str">
        <f aca="false">IF(Config!B7&lt;&gt;"",Config!B7&amp;" — DNS, Certificate &amp; SSO Migration Runbook","Project 2 — Assign name on Config sheet")</f>
        <v>Project 2 — Assign name on Config sheet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27.75" hidden="false" customHeight="true" outlineLevel="0" collapsed="false">
      <c r="A3" s="35" t="s">
        <v>40</v>
      </c>
      <c r="B3" s="35"/>
      <c r="C3" s="36" t="n">
        <f aca="false">Config!C7</f>
        <v>0</v>
      </c>
      <c r="D3" s="35" t="s">
        <v>41</v>
      </c>
      <c r="E3" s="37" t="n">
        <f aca="false">Config!D7</f>
        <v>0</v>
      </c>
      <c r="F3" s="37"/>
      <c r="G3" s="35" t="s">
        <v>42</v>
      </c>
      <c r="H3" s="38" t="str">
        <f aca="false">Config!E7</f>
        <v/>
      </c>
      <c r="I3" s="35" t="s">
        <v>43</v>
      </c>
      <c r="J3" s="35"/>
      <c r="K3" s="36" t="str">
        <f aca="false">Config!F7</f>
        <v/>
      </c>
      <c r="L3" s="35" t="s">
        <v>44</v>
      </c>
      <c r="M3" s="39" t="str">
        <f aca="false">Config!G7</f>
        <v/>
      </c>
      <c r="N3" s="40"/>
      <c r="O3" s="40"/>
      <c r="P3" s="40"/>
      <c r="Q3" s="40"/>
      <c r="R3" s="40"/>
      <c r="S3" s="40"/>
    </row>
    <row r="5" customFormat="false" ht="35.05" hidden="false" customHeight="false" outlineLevel="0" collapsed="false">
      <c r="A5" s="9" t="s">
        <v>10</v>
      </c>
      <c r="B5" s="9" t="s">
        <v>45</v>
      </c>
      <c r="C5" s="9" t="s">
        <v>46</v>
      </c>
      <c r="D5" s="9" t="s">
        <v>47</v>
      </c>
      <c r="E5" s="9" t="s">
        <v>48</v>
      </c>
      <c r="F5" s="9" t="s">
        <v>49</v>
      </c>
      <c r="G5" s="9" t="s">
        <v>50</v>
      </c>
      <c r="H5" s="9" t="s">
        <v>51</v>
      </c>
      <c r="I5" s="41" t="s">
        <v>20</v>
      </c>
      <c r="J5" s="42" t="s">
        <v>17</v>
      </c>
      <c r="K5" s="43" t="s">
        <v>52</v>
      </c>
      <c r="L5" s="44" t="s">
        <v>53</v>
      </c>
      <c r="M5" s="45" t="s">
        <v>18</v>
      </c>
      <c r="N5" s="9" t="s">
        <v>54</v>
      </c>
      <c r="O5" s="9" t="s">
        <v>55</v>
      </c>
      <c r="P5" s="9" t="s">
        <v>56</v>
      </c>
      <c r="Q5" s="9" t="s">
        <v>57</v>
      </c>
      <c r="R5" s="9" t="s">
        <v>58</v>
      </c>
      <c r="S5" s="9" t="s">
        <v>59</v>
      </c>
    </row>
    <row r="6" customFormat="false" ht="36" hidden="false" customHeight="true" outlineLevel="0" collapsed="false">
      <c r="A6" s="46" t="n">
        <v>1</v>
      </c>
      <c r="B6" s="47" t="s">
        <v>60</v>
      </c>
      <c r="C6" s="46" t="s">
        <v>61</v>
      </c>
      <c r="D6" s="48" t="s">
        <v>62</v>
      </c>
      <c r="E6" s="49" t="s">
        <v>63</v>
      </c>
      <c r="F6" s="46" t="s">
        <v>64</v>
      </c>
      <c r="G6" s="50" t="e">
        <f aca="false">ROUND(0*$H$3,0)</f>
        <v>#VALUE!</v>
      </c>
      <c r="H6" s="51" t="e">
        <f aca="false">$C$3+G6</f>
        <v>#VALUE!</v>
      </c>
      <c r="I6" s="52"/>
      <c r="J6" s="53" t="n">
        <f aca="false">IF(I6="Complete",1,IF(I6="Skipped",1,IF(I6="Blocked",0.5,IF(I6="In Progress",0.25,0))))</f>
        <v>0</v>
      </c>
      <c r="K6" s="54"/>
      <c r="L6" s="55"/>
      <c r="M6" s="56"/>
      <c r="N6" s="57" t="str">
        <f aca="false">IF(M6="","",M6-H6)</f>
        <v/>
      </c>
      <c r="O6" s="58" t="str">
        <f aca="false">IF(M6="","",ABS(M6-H6)*24)</f>
        <v/>
      </c>
      <c r="P6" s="46"/>
      <c r="Q6" s="59" t="s">
        <v>65</v>
      </c>
      <c r="R6" s="59" t="s">
        <v>66</v>
      </c>
      <c r="S6" s="59" t="s">
        <v>67</v>
      </c>
    </row>
    <row r="7" customFormat="false" ht="36" hidden="false" customHeight="true" outlineLevel="0" collapsed="false">
      <c r="A7" s="23" t="n">
        <v>2</v>
      </c>
      <c r="B7" s="60" t="s">
        <v>60</v>
      </c>
      <c r="C7" s="23" t="s">
        <v>68</v>
      </c>
      <c r="D7" s="61" t="s">
        <v>69</v>
      </c>
      <c r="E7" s="62" t="s">
        <v>70</v>
      </c>
      <c r="F7" s="23" t="s">
        <v>64</v>
      </c>
      <c r="G7" s="26" t="e">
        <f aca="false">ROUND(0*$H$3,0)</f>
        <v>#VALUE!</v>
      </c>
      <c r="H7" s="25" t="e">
        <f aca="false">$C$3+G7</f>
        <v>#VALUE!</v>
      </c>
      <c r="I7" s="52"/>
      <c r="J7" s="53" t="n">
        <f aca="false">IF(I7="Complete",1,IF(I7="Skipped",1,IF(I7="Blocked",0.5,IF(I7="In Progress",0.25,0))))</f>
        <v>0</v>
      </c>
      <c r="K7" s="54"/>
      <c r="L7" s="55"/>
      <c r="M7" s="56"/>
      <c r="N7" s="57" t="str">
        <f aca="false">IF(M7="","",M7-H7)</f>
        <v/>
      </c>
      <c r="O7" s="58" t="str">
        <f aca="false">IF(M7="","",ABS(M7-H7)*24)</f>
        <v/>
      </c>
      <c r="P7" s="23"/>
      <c r="Q7" s="63" t="s">
        <v>71</v>
      </c>
      <c r="R7" s="63" t="s">
        <v>66</v>
      </c>
      <c r="S7" s="63" t="s">
        <v>72</v>
      </c>
    </row>
    <row r="8" customFormat="false" ht="36" hidden="false" customHeight="true" outlineLevel="0" collapsed="false">
      <c r="A8" s="11" t="n">
        <v>3</v>
      </c>
      <c r="B8" s="64" t="s">
        <v>60</v>
      </c>
      <c r="C8" s="11" t="s">
        <v>73</v>
      </c>
      <c r="D8" s="65" t="s">
        <v>74</v>
      </c>
      <c r="E8" s="66" t="s">
        <v>75</v>
      </c>
      <c r="F8" s="11" t="s">
        <v>64</v>
      </c>
      <c r="G8" s="17" t="e">
        <f aca="false">ROUND(0*$H$3,0)</f>
        <v>#VALUE!</v>
      </c>
      <c r="H8" s="16" t="e">
        <f aca="false">$C$3+G8</f>
        <v>#VALUE!</v>
      </c>
      <c r="I8" s="52"/>
      <c r="J8" s="53" t="n">
        <f aca="false">IF(I8="Complete",1,IF(I8="Skipped",1,IF(I8="Blocked",0.5,IF(I8="In Progress",0.25,0))))</f>
        <v>0</v>
      </c>
      <c r="K8" s="54"/>
      <c r="L8" s="55"/>
      <c r="M8" s="56"/>
      <c r="N8" s="57" t="str">
        <f aca="false">IF(M8="","",M8-H8)</f>
        <v/>
      </c>
      <c r="O8" s="58" t="str">
        <f aca="false">IF(M8="","",ABS(M8-H8)*24)</f>
        <v/>
      </c>
      <c r="P8" s="11"/>
      <c r="Q8" s="67" t="s">
        <v>76</v>
      </c>
      <c r="R8" s="67" t="s">
        <v>66</v>
      </c>
      <c r="S8" s="67" t="s">
        <v>77</v>
      </c>
    </row>
    <row r="9" customFormat="false" ht="36" hidden="false" customHeight="true" outlineLevel="0" collapsed="false">
      <c r="A9" s="23" t="n">
        <v>4</v>
      </c>
      <c r="B9" s="60" t="s">
        <v>60</v>
      </c>
      <c r="C9" s="23" t="s">
        <v>78</v>
      </c>
      <c r="D9" s="61" t="s">
        <v>79</v>
      </c>
      <c r="E9" s="62" t="s">
        <v>80</v>
      </c>
      <c r="F9" s="23" t="s">
        <v>64</v>
      </c>
      <c r="G9" s="26" t="e">
        <f aca="false">ROUND(1*$H$3,0)</f>
        <v>#VALUE!</v>
      </c>
      <c r="H9" s="25" t="e">
        <f aca="false">$C$3+G9</f>
        <v>#VALUE!</v>
      </c>
      <c r="I9" s="52"/>
      <c r="J9" s="53" t="n">
        <f aca="false">IF(I9="Complete",1,IF(I9="Skipped",1,IF(I9="Blocked",0.5,IF(I9="In Progress",0.25,0))))</f>
        <v>0</v>
      </c>
      <c r="K9" s="54"/>
      <c r="L9" s="55"/>
      <c r="M9" s="56"/>
      <c r="N9" s="57" t="str">
        <f aca="false">IF(M9="","",M9-H9)</f>
        <v/>
      </c>
      <c r="O9" s="58" t="str">
        <f aca="false">IF(M9="","",ABS(M9-H9)*24)</f>
        <v/>
      </c>
      <c r="P9" s="23"/>
      <c r="Q9" s="63" t="s">
        <v>81</v>
      </c>
      <c r="R9" s="63" t="s">
        <v>66</v>
      </c>
      <c r="S9" s="63" t="s">
        <v>82</v>
      </c>
    </row>
    <row r="10" customFormat="false" ht="36" hidden="false" customHeight="true" outlineLevel="0" collapsed="false">
      <c r="A10" s="11" t="n">
        <v>5</v>
      </c>
      <c r="B10" s="64" t="s">
        <v>60</v>
      </c>
      <c r="C10" s="11" t="s">
        <v>83</v>
      </c>
      <c r="D10" s="65" t="s">
        <v>84</v>
      </c>
      <c r="E10" s="66" t="s">
        <v>85</v>
      </c>
      <c r="F10" s="11" t="s">
        <v>64</v>
      </c>
      <c r="G10" s="17" t="e">
        <f aca="false">ROUND(1*$H$3,0)</f>
        <v>#VALUE!</v>
      </c>
      <c r="H10" s="16" t="e">
        <f aca="false">$C$3+G10</f>
        <v>#VALUE!</v>
      </c>
      <c r="I10" s="52"/>
      <c r="J10" s="53" t="n">
        <f aca="false">IF(I10="Complete",1,IF(I10="Skipped",1,IF(I10="Blocked",0.5,IF(I10="In Progress",0.25,0))))</f>
        <v>0</v>
      </c>
      <c r="K10" s="54"/>
      <c r="L10" s="55"/>
      <c r="M10" s="56"/>
      <c r="N10" s="57" t="str">
        <f aca="false">IF(M10="","",M10-H10)</f>
        <v/>
      </c>
      <c r="O10" s="58" t="str">
        <f aca="false">IF(M10="","",ABS(M10-H10)*24)</f>
        <v/>
      </c>
      <c r="P10" s="11"/>
      <c r="Q10" s="67" t="s">
        <v>86</v>
      </c>
      <c r="R10" s="67" t="s">
        <v>66</v>
      </c>
      <c r="S10" s="67" t="s">
        <v>87</v>
      </c>
    </row>
    <row r="11" customFormat="false" ht="36" hidden="false" customHeight="true" outlineLevel="0" collapsed="false">
      <c r="A11" s="23" t="n">
        <v>6</v>
      </c>
      <c r="B11" s="60" t="s">
        <v>60</v>
      </c>
      <c r="C11" s="23" t="s">
        <v>88</v>
      </c>
      <c r="D11" s="61" t="s">
        <v>89</v>
      </c>
      <c r="E11" s="62" t="s">
        <v>90</v>
      </c>
      <c r="F11" s="23" t="s">
        <v>64</v>
      </c>
      <c r="G11" s="26" t="e">
        <f aca="false">ROUND(1*$H$3,0)</f>
        <v>#VALUE!</v>
      </c>
      <c r="H11" s="25" t="e">
        <f aca="false">$C$3+G11</f>
        <v>#VALUE!</v>
      </c>
      <c r="I11" s="52"/>
      <c r="J11" s="53" t="n">
        <f aca="false">IF(I11="Complete",1,IF(I11="Skipped",1,IF(I11="Blocked",0.5,IF(I11="In Progress",0.25,0))))</f>
        <v>0</v>
      </c>
      <c r="K11" s="54"/>
      <c r="L11" s="55"/>
      <c r="M11" s="56"/>
      <c r="N11" s="57" t="str">
        <f aca="false">IF(M11="","",M11-H11)</f>
        <v/>
      </c>
      <c r="O11" s="58" t="str">
        <f aca="false">IF(M11="","",ABS(M11-H11)*24)</f>
        <v/>
      </c>
      <c r="P11" s="23"/>
      <c r="Q11" s="63" t="s">
        <v>91</v>
      </c>
      <c r="R11" s="63" t="s">
        <v>66</v>
      </c>
      <c r="S11" s="63" t="s">
        <v>92</v>
      </c>
    </row>
    <row r="12" customFormat="false" ht="36" hidden="false" customHeight="true" outlineLevel="0" collapsed="false">
      <c r="A12" s="11" t="n">
        <v>7</v>
      </c>
      <c r="B12" s="64" t="s">
        <v>60</v>
      </c>
      <c r="C12" s="11" t="s">
        <v>93</v>
      </c>
      <c r="D12" s="65" t="s">
        <v>94</v>
      </c>
      <c r="E12" s="66" t="s">
        <v>95</v>
      </c>
      <c r="F12" s="11" t="s">
        <v>96</v>
      </c>
      <c r="G12" s="17" t="e">
        <f aca="false">ROUND(1*$H$3,0)</f>
        <v>#VALUE!</v>
      </c>
      <c r="H12" s="16" t="e">
        <f aca="false">$C$3+G12</f>
        <v>#VALUE!</v>
      </c>
      <c r="I12" s="52"/>
      <c r="J12" s="53" t="n">
        <f aca="false">IF(I12="Complete",1,IF(I12="Skipped",1,IF(I12="Blocked",0.5,IF(I12="In Progress",0.25,0))))</f>
        <v>0</v>
      </c>
      <c r="K12" s="54"/>
      <c r="L12" s="55"/>
      <c r="M12" s="56"/>
      <c r="N12" s="57" t="str">
        <f aca="false">IF(M12="","",M12-H12)</f>
        <v/>
      </c>
      <c r="O12" s="58" t="str">
        <f aca="false">IF(M12="","",ABS(M12-H12)*24)</f>
        <v/>
      </c>
      <c r="P12" s="11"/>
      <c r="Q12" s="67" t="s">
        <v>97</v>
      </c>
      <c r="R12" s="67" t="s">
        <v>66</v>
      </c>
      <c r="S12" s="67" t="s">
        <v>98</v>
      </c>
    </row>
    <row r="13" customFormat="false" ht="36" hidden="false" customHeight="true" outlineLevel="0" collapsed="false">
      <c r="A13" s="23" t="n">
        <v>8</v>
      </c>
      <c r="B13" s="60" t="s">
        <v>60</v>
      </c>
      <c r="C13" s="23" t="s">
        <v>99</v>
      </c>
      <c r="D13" s="61" t="s">
        <v>100</v>
      </c>
      <c r="E13" s="62" t="s">
        <v>101</v>
      </c>
      <c r="F13" s="23" t="s">
        <v>64</v>
      </c>
      <c r="G13" s="26" t="e">
        <f aca="false">ROUND(1*$H$3,0)</f>
        <v>#VALUE!</v>
      </c>
      <c r="H13" s="25" t="e">
        <f aca="false">$C$3+G13</f>
        <v>#VALUE!</v>
      </c>
      <c r="I13" s="52"/>
      <c r="J13" s="53" t="n">
        <f aca="false">IF(I13="Complete",1,IF(I13="Skipped",1,IF(I13="Blocked",0.5,IF(I13="In Progress",0.25,0))))</f>
        <v>0</v>
      </c>
      <c r="K13" s="54"/>
      <c r="L13" s="55"/>
      <c r="M13" s="56"/>
      <c r="N13" s="57" t="str">
        <f aca="false">IF(M13="","",M13-H13)</f>
        <v/>
      </c>
      <c r="O13" s="58" t="str">
        <f aca="false">IF(M13="","",ABS(M13-H13)*24)</f>
        <v/>
      </c>
      <c r="P13" s="23"/>
      <c r="Q13" s="63" t="s">
        <v>102</v>
      </c>
      <c r="R13" s="63" t="s">
        <v>103</v>
      </c>
      <c r="S13" s="63" t="s">
        <v>104</v>
      </c>
    </row>
    <row r="14" customFormat="false" ht="36" hidden="false" customHeight="true" outlineLevel="0" collapsed="false">
      <c r="A14" s="11" t="n">
        <v>9</v>
      </c>
      <c r="B14" s="64" t="s">
        <v>60</v>
      </c>
      <c r="C14" s="11" t="s">
        <v>105</v>
      </c>
      <c r="D14" s="65" t="s">
        <v>106</v>
      </c>
      <c r="E14" s="66" t="s">
        <v>107</v>
      </c>
      <c r="F14" s="11" t="s">
        <v>64</v>
      </c>
      <c r="G14" s="17" t="e">
        <f aca="false">ROUND(2*$H$3,0)</f>
        <v>#VALUE!</v>
      </c>
      <c r="H14" s="16" t="e">
        <f aca="false">$C$3+G14</f>
        <v>#VALUE!</v>
      </c>
      <c r="I14" s="52"/>
      <c r="J14" s="53" t="n">
        <f aca="false">IF(I14="Complete",1,IF(I14="Skipped",1,IF(I14="Blocked",0.5,IF(I14="In Progress",0.25,0))))</f>
        <v>0</v>
      </c>
      <c r="K14" s="54"/>
      <c r="L14" s="55"/>
      <c r="M14" s="56"/>
      <c r="N14" s="57" t="str">
        <f aca="false">IF(M14="","",M14-H14)</f>
        <v/>
      </c>
      <c r="O14" s="58" t="str">
        <f aca="false">IF(M14="","",ABS(M14-H14)*24)</f>
        <v/>
      </c>
      <c r="P14" s="11"/>
      <c r="Q14" s="67" t="s">
        <v>108</v>
      </c>
      <c r="R14" s="67" t="s">
        <v>109</v>
      </c>
      <c r="S14" s="67" t="s">
        <v>110</v>
      </c>
    </row>
    <row r="15" customFormat="false" ht="36" hidden="false" customHeight="true" outlineLevel="0" collapsed="false">
      <c r="A15" s="23" t="n">
        <v>10</v>
      </c>
      <c r="B15" s="60" t="s">
        <v>60</v>
      </c>
      <c r="C15" s="23" t="s">
        <v>111</v>
      </c>
      <c r="D15" s="61" t="s">
        <v>112</v>
      </c>
      <c r="E15" s="62" t="s">
        <v>113</v>
      </c>
      <c r="F15" s="23" t="s">
        <v>114</v>
      </c>
      <c r="G15" s="26" t="e">
        <f aca="false">ROUND(2*$H$3,0)</f>
        <v>#VALUE!</v>
      </c>
      <c r="H15" s="25" t="e">
        <f aca="false">$C$3+G15</f>
        <v>#VALUE!</v>
      </c>
      <c r="I15" s="52"/>
      <c r="J15" s="53" t="n">
        <f aca="false">IF(I15="Complete",1,IF(I15="Skipped",1,IF(I15="Blocked",0.5,IF(I15="In Progress",0.25,0))))</f>
        <v>0</v>
      </c>
      <c r="K15" s="54"/>
      <c r="L15" s="55"/>
      <c r="M15" s="56"/>
      <c r="N15" s="57" t="str">
        <f aca="false">IF(M15="","",M15-H15)</f>
        <v/>
      </c>
      <c r="O15" s="58" t="str">
        <f aca="false">IF(M15="","",ABS(M15-H15)*24)</f>
        <v/>
      </c>
      <c r="P15" s="23"/>
      <c r="Q15" s="63" t="s">
        <v>115</v>
      </c>
      <c r="R15" s="63" t="s">
        <v>116</v>
      </c>
      <c r="S15" s="63" t="s">
        <v>117</v>
      </c>
    </row>
    <row r="16" customFormat="false" ht="36" hidden="false" customHeight="true" outlineLevel="0" collapsed="false">
      <c r="A16" s="46" t="n">
        <v>11</v>
      </c>
      <c r="B16" s="47" t="s">
        <v>118</v>
      </c>
      <c r="C16" s="46" t="s">
        <v>119</v>
      </c>
      <c r="D16" s="48" t="s">
        <v>120</v>
      </c>
      <c r="E16" s="49" t="s">
        <v>121</v>
      </c>
      <c r="F16" s="46" t="s">
        <v>64</v>
      </c>
      <c r="G16" s="50" t="e">
        <f aca="false">ROUND(3*$H$3,0)</f>
        <v>#VALUE!</v>
      </c>
      <c r="H16" s="51" t="e">
        <f aca="false">$C$3+G16</f>
        <v>#VALUE!</v>
      </c>
      <c r="I16" s="52"/>
      <c r="J16" s="53" t="n">
        <f aca="false">IF(I16="Complete",1,IF(I16="Skipped",1,IF(I16="Blocked",0.5,IF(I16="In Progress",0.25,0))))</f>
        <v>0</v>
      </c>
      <c r="K16" s="54"/>
      <c r="L16" s="55"/>
      <c r="M16" s="56"/>
      <c r="N16" s="57" t="str">
        <f aca="false">IF(M16="","",M16-H16)</f>
        <v/>
      </c>
      <c r="O16" s="58" t="str">
        <f aca="false">IF(M16="","",ABS(M16-H16)*24)</f>
        <v/>
      </c>
      <c r="P16" s="46"/>
      <c r="Q16" s="59" t="s">
        <v>122</v>
      </c>
      <c r="R16" s="59" t="s">
        <v>123</v>
      </c>
      <c r="S16" s="59" t="s">
        <v>124</v>
      </c>
    </row>
    <row r="17" customFormat="false" ht="36" hidden="false" customHeight="true" outlineLevel="0" collapsed="false">
      <c r="A17" s="23" t="n">
        <v>12</v>
      </c>
      <c r="B17" s="60" t="s">
        <v>118</v>
      </c>
      <c r="C17" s="23" t="s">
        <v>125</v>
      </c>
      <c r="D17" s="61" t="s">
        <v>126</v>
      </c>
      <c r="E17" s="62" t="s">
        <v>127</v>
      </c>
      <c r="F17" s="23" t="s">
        <v>64</v>
      </c>
      <c r="G17" s="26" t="e">
        <f aca="false">ROUND(3*$H$3,0)</f>
        <v>#VALUE!</v>
      </c>
      <c r="H17" s="25" t="e">
        <f aca="false">$C$3+G17</f>
        <v>#VALUE!</v>
      </c>
      <c r="I17" s="52"/>
      <c r="J17" s="53" t="n">
        <f aca="false">IF(I17="Complete",1,IF(I17="Skipped",1,IF(I17="Blocked",0.5,IF(I17="In Progress",0.25,0))))</f>
        <v>0</v>
      </c>
      <c r="K17" s="54"/>
      <c r="L17" s="55"/>
      <c r="M17" s="56"/>
      <c r="N17" s="57" t="str">
        <f aca="false">IF(M17="","",M17-H17)</f>
        <v/>
      </c>
      <c r="O17" s="58" t="str">
        <f aca="false">IF(M17="","",ABS(M17-H17)*24)</f>
        <v/>
      </c>
      <c r="P17" s="23"/>
      <c r="Q17" s="63" t="s">
        <v>128</v>
      </c>
      <c r="R17" s="63" t="s">
        <v>129</v>
      </c>
      <c r="S17" s="63" t="s">
        <v>130</v>
      </c>
    </row>
    <row r="18" customFormat="false" ht="36" hidden="false" customHeight="true" outlineLevel="0" collapsed="false">
      <c r="A18" s="11" t="n">
        <v>13</v>
      </c>
      <c r="B18" s="64" t="s">
        <v>118</v>
      </c>
      <c r="C18" s="11" t="s">
        <v>131</v>
      </c>
      <c r="D18" s="65" t="s">
        <v>132</v>
      </c>
      <c r="E18" s="66" t="s">
        <v>133</v>
      </c>
      <c r="F18" s="11" t="s">
        <v>64</v>
      </c>
      <c r="G18" s="17" t="e">
        <f aca="false">ROUND(3*$H$3,0)</f>
        <v>#VALUE!</v>
      </c>
      <c r="H18" s="16" t="e">
        <f aca="false">$C$3+G18</f>
        <v>#VALUE!</v>
      </c>
      <c r="I18" s="52"/>
      <c r="J18" s="53" t="n">
        <f aca="false">IF(I18="Complete",1,IF(I18="Skipped",1,IF(I18="Blocked",0.5,IF(I18="In Progress",0.25,0))))</f>
        <v>0</v>
      </c>
      <c r="K18" s="54"/>
      <c r="L18" s="55"/>
      <c r="M18" s="56"/>
      <c r="N18" s="57" t="str">
        <f aca="false">IF(M18="","",M18-H18)</f>
        <v/>
      </c>
      <c r="O18" s="58" t="str">
        <f aca="false">IF(M18="","",ABS(M18-H18)*24)</f>
        <v/>
      </c>
      <c r="P18" s="11"/>
      <c r="Q18" s="67" t="s">
        <v>134</v>
      </c>
      <c r="R18" s="67" t="s">
        <v>135</v>
      </c>
      <c r="S18" s="67" t="s">
        <v>136</v>
      </c>
    </row>
    <row r="19" customFormat="false" ht="36" hidden="false" customHeight="true" outlineLevel="0" collapsed="false">
      <c r="A19" s="23" t="n">
        <v>14</v>
      </c>
      <c r="B19" s="60" t="s">
        <v>118</v>
      </c>
      <c r="C19" s="23" t="s">
        <v>137</v>
      </c>
      <c r="D19" s="61" t="s">
        <v>138</v>
      </c>
      <c r="E19" s="62" t="s">
        <v>139</v>
      </c>
      <c r="F19" s="23" t="s">
        <v>64</v>
      </c>
      <c r="G19" s="26" t="e">
        <f aca="false">ROUND(3*$H$3,0)</f>
        <v>#VALUE!</v>
      </c>
      <c r="H19" s="25" t="e">
        <f aca="false">$C$3+G19</f>
        <v>#VALUE!</v>
      </c>
      <c r="I19" s="52"/>
      <c r="J19" s="53" t="n">
        <f aca="false">IF(I19="Complete",1,IF(I19="Skipped",1,IF(I19="Blocked",0.5,IF(I19="In Progress",0.25,0))))</f>
        <v>0</v>
      </c>
      <c r="K19" s="54"/>
      <c r="L19" s="55"/>
      <c r="M19" s="56"/>
      <c r="N19" s="57" t="str">
        <f aca="false">IF(M19="","",M19-H19)</f>
        <v/>
      </c>
      <c r="O19" s="58" t="str">
        <f aca="false">IF(M19="","",ABS(M19-H19)*24)</f>
        <v/>
      </c>
      <c r="P19" s="23"/>
      <c r="Q19" s="63" t="s">
        <v>140</v>
      </c>
      <c r="R19" s="63" t="s">
        <v>141</v>
      </c>
      <c r="S19" s="63" t="s">
        <v>142</v>
      </c>
    </row>
    <row r="20" customFormat="false" ht="36" hidden="false" customHeight="true" outlineLevel="0" collapsed="false">
      <c r="A20" s="11" t="n">
        <v>15</v>
      </c>
      <c r="B20" s="64" t="s">
        <v>118</v>
      </c>
      <c r="C20" s="11" t="s">
        <v>143</v>
      </c>
      <c r="D20" s="65" t="s">
        <v>144</v>
      </c>
      <c r="E20" s="66" t="s">
        <v>145</v>
      </c>
      <c r="F20" s="11" t="s">
        <v>64</v>
      </c>
      <c r="G20" s="17" t="e">
        <f aca="false">ROUND(3*$H$3,0)</f>
        <v>#VALUE!</v>
      </c>
      <c r="H20" s="16" t="e">
        <f aca="false">$C$3+G20</f>
        <v>#VALUE!</v>
      </c>
      <c r="I20" s="52"/>
      <c r="J20" s="53" t="n">
        <f aca="false">IF(I20="Complete",1,IF(I20="Skipped",1,IF(I20="Blocked",0.5,IF(I20="In Progress",0.25,0))))</f>
        <v>0</v>
      </c>
      <c r="K20" s="54"/>
      <c r="L20" s="55"/>
      <c r="M20" s="56"/>
      <c r="N20" s="57" t="str">
        <f aca="false">IF(M20="","",M20-H20)</f>
        <v/>
      </c>
      <c r="O20" s="58" t="str">
        <f aca="false">IF(M20="","",ABS(M20-H20)*24)</f>
        <v/>
      </c>
      <c r="P20" s="11"/>
      <c r="Q20" s="67" t="s">
        <v>146</v>
      </c>
      <c r="R20" s="67" t="s">
        <v>147</v>
      </c>
      <c r="S20" s="67" t="s">
        <v>148</v>
      </c>
    </row>
    <row r="21" customFormat="false" ht="36" hidden="false" customHeight="true" outlineLevel="0" collapsed="false">
      <c r="A21" s="23" t="n">
        <v>16</v>
      </c>
      <c r="B21" s="60" t="s">
        <v>118</v>
      </c>
      <c r="C21" s="23" t="s">
        <v>149</v>
      </c>
      <c r="D21" s="61" t="s">
        <v>150</v>
      </c>
      <c r="E21" s="62" t="s">
        <v>151</v>
      </c>
      <c r="F21" s="23" t="s">
        <v>152</v>
      </c>
      <c r="G21" s="26" t="e">
        <f aca="false">ROUND(3*$H$3,0)</f>
        <v>#VALUE!</v>
      </c>
      <c r="H21" s="25" t="e">
        <f aca="false">$C$3+G21</f>
        <v>#VALUE!</v>
      </c>
      <c r="I21" s="52"/>
      <c r="J21" s="53" t="n">
        <f aca="false">IF(I21="Complete",1,IF(I21="Skipped",1,IF(I21="Blocked",0.5,IF(I21="In Progress",0.25,0))))</f>
        <v>0</v>
      </c>
      <c r="K21" s="54"/>
      <c r="L21" s="55"/>
      <c r="M21" s="56"/>
      <c r="N21" s="57" t="str">
        <f aca="false">IF(M21="","",M21-H21)</f>
        <v/>
      </c>
      <c r="O21" s="58" t="str">
        <f aca="false">IF(M21="","",ABS(M21-H21)*24)</f>
        <v/>
      </c>
      <c r="P21" s="23"/>
      <c r="Q21" s="63" t="s">
        <v>153</v>
      </c>
      <c r="R21" s="63" t="s">
        <v>154</v>
      </c>
      <c r="S21" s="63" t="s">
        <v>155</v>
      </c>
    </row>
    <row r="22" customFormat="false" ht="36" hidden="false" customHeight="true" outlineLevel="0" collapsed="false">
      <c r="A22" s="46" t="n">
        <v>17</v>
      </c>
      <c r="B22" s="47" t="s">
        <v>156</v>
      </c>
      <c r="C22" s="46" t="s">
        <v>157</v>
      </c>
      <c r="D22" s="48" t="s">
        <v>158</v>
      </c>
      <c r="E22" s="49" t="s">
        <v>159</v>
      </c>
      <c r="F22" s="46" t="s">
        <v>64</v>
      </c>
      <c r="G22" s="50" t="e">
        <f aca="false">ROUND(4*$H$3,0)</f>
        <v>#VALUE!</v>
      </c>
      <c r="H22" s="51" t="e">
        <f aca="false">$C$3+G22</f>
        <v>#VALUE!</v>
      </c>
      <c r="I22" s="52"/>
      <c r="J22" s="53" t="n">
        <f aca="false">IF(I22="Complete",1,IF(I22="Skipped",1,IF(I22="Blocked",0.5,IF(I22="In Progress",0.25,0))))</f>
        <v>0</v>
      </c>
      <c r="K22" s="54"/>
      <c r="L22" s="55"/>
      <c r="M22" s="56"/>
      <c r="N22" s="57" t="str">
        <f aca="false">IF(M22="","",M22-H22)</f>
        <v/>
      </c>
      <c r="O22" s="58" t="str">
        <f aca="false">IF(M22="","",ABS(M22-H22)*24)</f>
        <v/>
      </c>
      <c r="P22" s="46"/>
      <c r="Q22" s="59" t="s">
        <v>160</v>
      </c>
      <c r="R22" s="59" t="s">
        <v>161</v>
      </c>
      <c r="S22" s="59" t="s">
        <v>162</v>
      </c>
    </row>
    <row r="23" customFormat="false" ht="36" hidden="false" customHeight="true" outlineLevel="0" collapsed="false">
      <c r="A23" s="23" t="n">
        <v>18</v>
      </c>
      <c r="B23" s="60" t="s">
        <v>156</v>
      </c>
      <c r="C23" s="23" t="s">
        <v>163</v>
      </c>
      <c r="D23" s="61" t="s">
        <v>164</v>
      </c>
      <c r="E23" s="62" t="s">
        <v>165</v>
      </c>
      <c r="F23" s="23" t="s">
        <v>64</v>
      </c>
      <c r="G23" s="26" t="e">
        <f aca="false">ROUND(4*$H$3,0)</f>
        <v>#VALUE!</v>
      </c>
      <c r="H23" s="25" t="e">
        <f aca="false">$C$3+G23</f>
        <v>#VALUE!</v>
      </c>
      <c r="I23" s="52"/>
      <c r="J23" s="53" t="n">
        <f aca="false">IF(I23="Complete",1,IF(I23="Skipped",1,IF(I23="Blocked",0.5,IF(I23="In Progress",0.25,0))))</f>
        <v>0</v>
      </c>
      <c r="K23" s="54"/>
      <c r="L23" s="55"/>
      <c r="M23" s="56"/>
      <c r="N23" s="57" t="str">
        <f aca="false">IF(M23="","",M23-H23)</f>
        <v/>
      </c>
      <c r="O23" s="58" t="str">
        <f aca="false">IF(M23="","",ABS(M23-H23)*24)</f>
        <v/>
      </c>
      <c r="P23" s="23"/>
      <c r="Q23" s="63" t="s">
        <v>166</v>
      </c>
      <c r="R23" s="63" t="s">
        <v>167</v>
      </c>
      <c r="S23" s="63"/>
    </row>
    <row r="24" customFormat="false" ht="36" hidden="false" customHeight="true" outlineLevel="0" collapsed="false">
      <c r="A24" s="11" t="n">
        <v>19</v>
      </c>
      <c r="B24" s="64" t="s">
        <v>156</v>
      </c>
      <c r="C24" s="11" t="s">
        <v>168</v>
      </c>
      <c r="D24" s="65" t="s">
        <v>169</v>
      </c>
      <c r="E24" s="66" t="s">
        <v>170</v>
      </c>
      <c r="F24" s="11" t="s">
        <v>64</v>
      </c>
      <c r="G24" s="17" t="e">
        <f aca="false">ROUND(4*$H$3,0)</f>
        <v>#VALUE!</v>
      </c>
      <c r="H24" s="16" t="e">
        <f aca="false">$C$3+G24</f>
        <v>#VALUE!</v>
      </c>
      <c r="I24" s="52"/>
      <c r="J24" s="53" t="n">
        <f aca="false">IF(I24="Complete",1,IF(I24="Skipped",1,IF(I24="Blocked",0.5,IF(I24="In Progress",0.25,0))))</f>
        <v>0</v>
      </c>
      <c r="K24" s="54"/>
      <c r="L24" s="55"/>
      <c r="M24" s="56"/>
      <c r="N24" s="57" t="str">
        <f aca="false">IF(M24="","",M24-H24)</f>
        <v/>
      </c>
      <c r="O24" s="58" t="str">
        <f aca="false">IF(M24="","",ABS(M24-H24)*24)</f>
        <v/>
      </c>
      <c r="P24" s="11"/>
      <c r="Q24" s="67" t="s">
        <v>171</v>
      </c>
      <c r="R24" s="67" t="s">
        <v>172</v>
      </c>
      <c r="S24" s="67" t="s">
        <v>173</v>
      </c>
    </row>
    <row r="25" customFormat="false" ht="36" hidden="false" customHeight="true" outlineLevel="0" collapsed="false">
      <c r="A25" s="23" t="n">
        <v>20</v>
      </c>
      <c r="B25" s="60" t="s">
        <v>156</v>
      </c>
      <c r="C25" s="23" t="s">
        <v>174</v>
      </c>
      <c r="D25" s="61" t="s">
        <v>175</v>
      </c>
      <c r="E25" s="62" t="s">
        <v>176</v>
      </c>
      <c r="F25" s="23" t="s">
        <v>64</v>
      </c>
      <c r="G25" s="26" t="e">
        <f aca="false">ROUND(4*$H$3,0)</f>
        <v>#VALUE!</v>
      </c>
      <c r="H25" s="25" t="e">
        <f aca="false">$C$3+G25</f>
        <v>#VALUE!</v>
      </c>
      <c r="I25" s="52"/>
      <c r="J25" s="53" t="n">
        <f aca="false">IF(I25="Complete",1,IF(I25="Skipped",1,IF(I25="Blocked",0.5,IF(I25="In Progress",0.25,0))))</f>
        <v>0</v>
      </c>
      <c r="K25" s="54"/>
      <c r="L25" s="55"/>
      <c r="M25" s="56"/>
      <c r="N25" s="57" t="str">
        <f aca="false">IF(M25="","",M25-H25)</f>
        <v/>
      </c>
      <c r="O25" s="58" t="str">
        <f aca="false">IF(M25="","",ABS(M25-H25)*24)</f>
        <v/>
      </c>
      <c r="P25" s="23"/>
      <c r="Q25" s="63" t="s">
        <v>177</v>
      </c>
      <c r="R25" s="63" t="s">
        <v>178</v>
      </c>
      <c r="S25" s="63" t="s">
        <v>179</v>
      </c>
    </row>
    <row r="26" customFormat="false" ht="36" hidden="false" customHeight="true" outlineLevel="0" collapsed="false">
      <c r="A26" s="11" t="n">
        <v>21</v>
      </c>
      <c r="B26" s="64" t="s">
        <v>156</v>
      </c>
      <c r="C26" s="11" t="s">
        <v>180</v>
      </c>
      <c r="D26" s="65" t="s">
        <v>181</v>
      </c>
      <c r="E26" s="66" t="s">
        <v>182</v>
      </c>
      <c r="F26" s="11" t="s">
        <v>64</v>
      </c>
      <c r="G26" s="17" t="e">
        <f aca="false">ROUND(4*$H$3,0)</f>
        <v>#VALUE!</v>
      </c>
      <c r="H26" s="16" t="e">
        <f aca="false">$C$3+G26</f>
        <v>#VALUE!</v>
      </c>
      <c r="I26" s="52"/>
      <c r="J26" s="53" t="n">
        <f aca="false">IF(I26="Complete",1,IF(I26="Skipped",1,IF(I26="Blocked",0.5,IF(I26="In Progress",0.25,0))))</f>
        <v>0</v>
      </c>
      <c r="K26" s="54"/>
      <c r="L26" s="55"/>
      <c r="M26" s="56"/>
      <c r="N26" s="57" t="str">
        <f aca="false">IF(M26="","",M26-H26)</f>
        <v/>
      </c>
      <c r="O26" s="58" t="str">
        <f aca="false">IF(M26="","",ABS(M26-H26)*24)</f>
        <v/>
      </c>
      <c r="P26" s="11"/>
      <c r="Q26" s="67" t="s">
        <v>183</v>
      </c>
      <c r="R26" s="67" t="s">
        <v>184</v>
      </c>
      <c r="S26" s="67" t="s">
        <v>185</v>
      </c>
    </row>
    <row r="27" customFormat="false" ht="36" hidden="false" customHeight="true" outlineLevel="0" collapsed="false">
      <c r="A27" s="23" t="n">
        <v>22</v>
      </c>
      <c r="B27" s="60" t="s">
        <v>156</v>
      </c>
      <c r="C27" s="23" t="s">
        <v>186</v>
      </c>
      <c r="D27" s="61" t="s">
        <v>187</v>
      </c>
      <c r="E27" s="62" t="s">
        <v>188</v>
      </c>
      <c r="F27" s="23" t="s">
        <v>64</v>
      </c>
      <c r="G27" s="26" t="e">
        <f aca="false">ROUND(4*$H$3,0)</f>
        <v>#VALUE!</v>
      </c>
      <c r="H27" s="25" t="e">
        <f aca="false">$C$3+G27</f>
        <v>#VALUE!</v>
      </c>
      <c r="I27" s="52"/>
      <c r="J27" s="53" t="n">
        <f aca="false">IF(I27="Complete",1,IF(I27="Skipped",1,IF(I27="Blocked",0.5,IF(I27="In Progress",0.25,0))))</f>
        <v>0</v>
      </c>
      <c r="K27" s="54"/>
      <c r="L27" s="55"/>
      <c r="M27" s="56"/>
      <c r="N27" s="57" t="str">
        <f aca="false">IF(M27="","",M27-H27)</f>
        <v/>
      </c>
      <c r="O27" s="58" t="str">
        <f aca="false">IF(M27="","",ABS(M27-H27)*24)</f>
        <v/>
      </c>
      <c r="P27" s="23"/>
      <c r="Q27" s="63" t="s">
        <v>189</v>
      </c>
      <c r="R27" s="63" t="s">
        <v>190</v>
      </c>
      <c r="S27" s="63" t="s">
        <v>191</v>
      </c>
    </row>
    <row r="28" customFormat="false" ht="36" hidden="false" customHeight="true" outlineLevel="0" collapsed="false">
      <c r="A28" s="11" t="n">
        <v>23</v>
      </c>
      <c r="B28" s="64" t="s">
        <v>156</v>
      </c>
      <c r="C28" s="11" t="s">
        <v>192</v>
      </c>
      <c r="D28" s="65" t="s">
        <v>193</v>
      </c>
      <c r="E28" s="66" t="s">
        <v>194</v>
      </c>
      <c r="F28" s="11" t="s">
        <v>64</v>
      </c>
      <c r="G28" s="17" t="e">
        <f aca="false">ROUND(5*$H$3,0)</f>
        <v>#VALUE!</v>
      </c>
      <c r="H28" s="16" t="e">
        <f aca="false">$C$3+G28</f>
        <v>#VALUE!</v>
      </c>
      <c r="I28" s="52"/>
      <c r="J28" s="53" t="n">
        <f aca="false">IF(I28="Complete",1,IF(I28="Skipped",1,IF(I28="Blocked",0.5,IF(I28="In Progress",0.25,0))))</f>
        <v>0</v>
      </c>
      <c r="K28" s="54"/>
      <c r="L28" s="55"/>
      <c r="M28" s="56"/>
      <c r="N28" s="57" t="str">
        <f aca="false">IF(M28="","",M28-H28)</f>
        <v/>
      </c>
      <c r="O28" s="58" t="str">
        <f aca="false">IF(M28="","",ABS(M28-H28)*24)</f>
        <v/>
      </c>
      <c r="P28" s="11"/>
      <c r="Q28" s="67" t="s">
        <v>195</v>
      </c>
      <c r="R28" s="67" t="s">
        <v>196</v>
      </c>
      <c r="S28" s="67" t="s">
        <v>197</v>
      </c>
    </row>
    <row r="29" customFormat="false" ht="36" hidden="false" customHeight="true" outlineLevel="0" collapsed="false">
      <c r="A29" s="23" t="n">
        <v>24</v>
      </c>
      <c r="B29" s="60" t="s">
        <v>156</v>
      </c>
      <c r="C29" s="23" t="s">
        <v>198</v>
      </c>
      <c r="D29" s="61" t="s">
        <v>199</v>
      </c>
      <c r="E29" s="62" t="s">
        <v>200</v>
      </c>
      <c r="F29" s="23" t="s">
        <v>64</v>
      </c>
      <c r="G29" s="26" t="e">
        <f aca="false">ROUND(5*$H$3,0)</f>
        <v>#VALUE!</v>
      </c>
      <c r="H29" s="25" t="e">
        <f aca="false">$C$3+G29</f>
        <v>#VALUE!</v>
      </c>
      <c r="I29" s="52"/>
      <c r="J29" s="53" t="n">
        <f aca="false">IF(I29="Complete",1,IF(I29="Skipped",1,IF(I29="Blocked",0.5,IF(I29="In Progress",0.25,0))))</f>
        <v>0</v>
      </c>
      <c r="K29" s="54"/>
      <c r="L29" s="55"/>
      <c r="M29" s="56"/>
      <c r="N29" s="57" t="str">
        <f aca="false">IF(M29="","",M29-H29)</f>
        <v/>
      </c>
      <c r="O29" s="58" t="str">
        <f aca="false">IF(M29="","",ABS(M29-H29)*24)</f>
        <v/>
      </c>
      <c r="P29" s="23"/>
      <c r="Q29" s="63" t="s">
        <v>201</v>
      </c>
      <c r="R29" s="63" t="s">
        <v>202</v>
      </c>
      <c r="S29" s="63" t="s">
        <v>203</v>
      </c>
    </row>
    <row r="30" customFormat="false" ht="36" hidden="false" customHeight="true" outlineLevel="0" collapsed="false">
      <c r="A30" s="11" t="n">
        <v>25</v>
      </c>
      <c r="B30" s="64" t="s">
        <v>156</v>
      </c>
      <c r="C30" s="11" t="s">
        <v>204</v>
      </c>
      <c r="D30" s="65" t="s">
        <v>205</v>
      </c>
      <c r="E30" s="66" t="s">
        <v>206</v>
      </c>
      <c r="F30" s="11" t="s">
        <v>64</v>
      </c>
      <c r="G30" s="17" t="e">
        <f aca="false">ROUND(5*$H$3,0)</f>
        <v>#VALUE!</v>
      </c>
      <c r="H30" s="16" t="e">
        <f aca="false">$C$3+G30</f>
        <v>#VALUE!</v>
      </c>
      <c r="I30" s="52"/>
      <c r="J30" s="53" t="n">
        <f aca="false">IF(I30="Complete",1,IF(I30="Skipped",1,IF(I30="Blocked",0.5,IF(I30="In Progress",0.25,0))))</f>
        <v>0</v>
      </c>
      <c r="K30" s="54"/>
      <c r="L30" s="55"/>
      <c r="M30" s="56"/>
      <c r="N30" s="57" t="str">
        <f aca="false">IF(M30="","",M30-H30)</f>
        <v/>
      </c>
      <c r="O30" s="58" t="str">
        <f aca="false">IF(M30="","",ABS(M30-H30)*24)</f>
        <v/>
      </c>
      <c r="P30" s="11"/>
      <c r="Q30" s="67" t="s">
        <v>207</v>
      </c>
      <c r="R30" s="67" t="s">
        <v>208</v>
      </c>
      <c r="S30" s="67" t="s">
        <v>209</v>
      </c>
    </row>
    <row r="31" customFormat="false" ht="36" hidden="false" customHeight="true" outlineLevel="0" collapsed="false">
      <c r="A31" s="46" t="n">
        <v>26</v>
      </c>
      <c r="B31" s="47" t="s">
        <v>210</v>
      </c>
      <c r="C31" s="46" t="s">
        <v>211</v>
      </c>
      <c r="D31" s="48" t="s">
        <v>212</v>
      </c>
      <c r="E31" s="49" t="s">
        <v>213</v>
      </c>
      <c r="F31" s="46" t="s">
        <v>214</v>
      </c>
      <c r="G31" s="50" t="e">
        <f aca="false">ROUND(6*$H$3,0)</f>
        <v>#VALUE!</v>
      </c>
      <c r="H31" s="51" t="e">
        <f aca="false">$C$3+G31</f>
        <v>#VALUE!</v>
      </c>
      <c r="I31" s="52"/>
      <c r="J31" s="53" t="n">
        <f aca="false">IF(I31="Complete",1,IF(I31="Skipped",1,IF(I31="Blocked",0.5,IF(I31="In Progress",0.25,0))))</f>
        <v>0</v>
      </c>
      <c r="K31" s="54"/>
      <c r="L31" s="55"/>
      <c r="M31" s="56"/>
      <c r="N31" s="57" t="str">
        <f aca="false">IF(M31="","",M31-H31)</f>
        <v/>
      </c>
      <c r="O31" s="58" t="str">
        <f aca="false">IF(M31="","",ABS(M31-H31)*24)</f>
        <v/>
      </c>
      <c r="P31" s="46"/>
      <c r="Q31" s="59" t="s">
        <v>215</v>
      </c>
      <c r="R31" s="59" t="s">
        <v>216</v>
      </c>
      <c r="S31" s="59" t="s">
        <v>217</v>
      </c>
    </row>
    <row r="32" customFormat="false" ht="36" hidden="false" customHeight="true" outlineLevel="0" collapsed="false">
      <c r="A32" s="11" t="n">
        <v>27</v>
      </c>
      <c r="B32" s="64" t="s">
        <v>210</v>
      </c>
      <c r="C32" s="11" t="s">
        <v>218</v>
      </c>
      <c r="D32" s="65" t="s">
        <v>219</v>
      </c>
      <c r="E32" s="66" t="s">
        <v>220</v>
      </c>
      <c r="F32" s="11" t="s">
        <v>214</v>
      </c>
      <c r="G32" s="17" t="e">
        <f aca="false">ROUND(6*$H$3,0)</f>
        <v>#VALUE!</v>
      </c>
      <c r="H32" s="16" t="e">
        <f aca="false">$C$3+G32</f>
        <v>#VALUE!</v>
      </c>
      <c r="I32" s="52"/>
      <c r="J32" s="53" t="n">
        <f aca="false">IF(I32="Complete",1,IF(I32="Skipped",1,IF(I32="Blocked",0.5,IF(I32="In Progress",0.25,0))))</f>
        <v>0</v>
      </c>
      <c r="K32" s="54"/>
      <c r="L32" s="55"/>
      <c r="M32" s="56"/>
      <c r="N32" s="57" t="str">
        <f aca="false">IF(M32="","",M32-H32)</f>
        <v/>
      </c>
      <c r="O32" s="58" t="str">
        <f aca="false">IF(M32="","",ABS(M32-H32)*24)</f>
        <v/>
      </c>
      <c r="P32" s="11"/>
      <c r="Q32" s="67" t="s">
        <v>221</v>
      </c>
      <c r="R32" s="67" t="s">
        <v>222</v>
      </c>
      <c r="S32" s="67" t="s">
        <v>223</v>
      </c>
    </row>
    <row r="33" customFormat="false" ht="36" hidden="false" customHeight="true" outlineLevel="0" collapsed="false">
      <c r="A33" s="23" t="n">
        <v>28</v>
      </c>
      <c r="B33" s="60" t="s">
        <v>210</v>
      </c>
      <c r="C33" s="23" t="s">
        <v>224</v>
      </c>
      <c r="D33" s="61" t="s">
        <v>225</v>
      </c>
      <c r="E33" s="62" t="s">
        <v>226</v>
      </c>
      <c r="F33" s="23" t="s">
        <v>64</v>
      </c>
      <c r="G33" s="26" t="e">
        <f aca="false">ROUND(7*$H$3,0)</f>
        <v>#VALUE!</v>
      </c>
      <c r="H33" s="25" t="e">
        <f aca="false">$C$3+G33</f>
        <v>#VALUE!</v>
      </c>
      <c r="I33" s="52"/>
      <c r="J33" s="53" t="n">
        <f aca="false">IF(I33="Complete",1,IF(I33="Skipped",1,IF(I33="Blocked",0.5,IF(I33="In Progress",0.25,0))))</f>
        <v>0</v>
      </c>
      <c r="K33" s="54"/>
      <c r="L33" s="55"/>
      <c r="M33" s="56"/>
      <c r="N33" s="57" t="str">
        <f aca="false">IF(M33="","",M33-H33)</f>
        <v/>
      </c>
      <c r="O33" s="58" t="str">
        <f aca="false">IF(M33="","",ABS(M33-H33)*24)</f>
        <v/>
      </c>
      <c r="P33" s="23"/>
      <c r="Q33" s="63" t="s">
        <v>227</v>
      </c>
      <c r="R33" s="63" t="s">
        <v>228</v>
      </c>
      <c r="S33" s="63" t="s">
        <v>229</v>
      </c>
    </row>
    <row r="34" customFormat="false" ht="36" hidden="false" customHeight="true" outlineLevel="0" collapsed="false">
      <c r="A34" s="11" t="n">
        <v>29</v>
      </c>
      <c r="B34" s="64" t="s">
        <v>210</v>
      </c>
      <c r="C34" s="11" t="s">
        <v>230</v>
      </c>
      <c r="D34" s="65" t="s">
        <v>231</v>
      </c>
      <c r="E34" s="66" t="s">
        <v>232</v>
      </c>
      <c r="F34" s="11" t="s">
        <v>214</v>
      </c>
      <c r="G34" s="17" t="e">
        <f aca="false">ROUND(8*$H$3,0)</f>
        <v>#VALUE!</v>
      </c>
      <c r="H34" s="16" t="e">
        <f aca="false">$C$3+G34</f>
        <v>#VALUE!</v>
      </c>
      <c r="I34" s="52"/>
      <c r="J34" s="53" t="n">
        <f aca="false">IF(I34="Complete",1,IF(I34="Skipped",1,IF(I34="Blocked",0.5,IF(I34="In Progress",0.25,0))))</f>
        <v>0</v>
      </c>
      <c r="K34" s="54"/>
      <c r="L34" s="55"/>
      <c r="M34" s="56"/>
      <c r="N34" s="57" t="str">
        <f aca="false">IF(M34="","",M34-H34)</f>
        <v/>
      </c>
      <c r="O34" s="58" t="str">
        <f aca="false">IF(M34="","",ABS(M34-H34)*24)</f>
        <v/>
      </c>
      <c r="P34" s="11"/>
      <c r="Q34" s="67" t="s">
        <v>233</v>
      </c>
      <c r="R34" s="67" t="s">
        <v>66</v>
      </c>
      <c r="S34" s="67" t="s">
        <v>234</v>
      </c>
    </row>
    <row r="35" customFormat="false" ht="36" hidden="false" customHeight="true" outlineLevel="0" collapsed="false">
      <c r="A35" s="23" t="n">
        <v>30</v>
      </c>
      <c r="B35" s="60" t="s">
        <v>210</v>
      </c>
      <c r="C35" s="23" t="s">
        <v>235</v>
      </c>
      <c r="D35" s="61" t="s">
        <v>236</v>
      </c>
      <c r="E35" s="62" t="s">
        <v>237</v>
      </c>
      <c r="F35" s="23" t="s">
        <v>114</v>
      </c>
      <c r="G35" s="26" t="e">
        <f aca="false">ROUND(8*$H$3,0)</f>
        <v>#VALUE!</v>
      </c>
      <c r="H35" s="25" t="e">
        <f aca="false">$C$3+G35</f>
        <v>#VALUE!</v>
      </c>
      <c r="I35" s="52"/>
      <c r="J35" s="53" t="n">
        <f aca="false">IF(I35="Complete",1,IF(I35="Skipped",1,IF(I35="Blocked",0.5,IF(I35="In Progress",0.25,0))))</f>
        <v>0</v>
      </c>
      <c r="K35" s="54"/>
      <c r="L35" s="55"/>
      <c r="M35" s="56"/>
      <c r="N35" s="57" t="str">
        <f aca="false">IF(M35="","",M35-H35)</f>
        <v/>
      </c>
      <c r="O35" s="58" t="str">
        <f aca="false">IF(M35="","",ABS(M35-H35)*24)</f>
        <v/>
      </c>
      <c r="P35" s="23"/>
      <c r="Q35" s="63" t="s">
        <v>238</v>
      </c>
      <c r="R35" s="63" t="s">
        <v>239</v>
      </c>
      <c r="S35" s="63"/>
    </row>
    <row r="36" customFormat="false" ht="36" hidden="false" customHeight="true" outlineLevel="0" collapsed="false">
      <c r="A36" s="46" t="n">
        <v>31</v>
      </c>
      <c r="B36" s="47" t="s">
        <v>240</v>
      </c>
      <c r="C36" s="46" t="s">
        <v>241</v>
      </c>
      <c r="D36" s="48" t="s">
        <v>242</v>
      </c>
      <c r="E36" s="49" t="s">
        <v>243</v>
      </c>
      <c r="F36" s="46" t="s">
        <v>64</v>
      </c>
      <c r="G36" s="50" t="e">
        <f aca="false">ROUND(9*$H$3,0)</f>
        <v>#VALUE!</v>
      </c>
      <c r="H36" s="51" t="e">
        <f aca="false">$C$3+G36</f>
        <v>#VALUE!</v>
      </c>
      <c r="I36" s="52"/>
      <c r="J36" s="53" t="n">
        <f aca="false">IF(I36="Complete",1,IF(I36="Skipped",1,IF(I36="Blocked",0.5,IF(I36="In Progress",0.25,0))))</f>
        <v>0</v>
      </c>
      <c r="K36" s="54"/>
      <c r="L36" s="55"/>
      <c r="M36" s="56"/>
      <c r="N36" s="57" t="str">
        <f aca="false">IF(M36="","",M36-H36)</f>
        <v/>
      </c>
      <c r="O36" s="58" t="str">
        <f aca="false">IF(M36="","",ABS(M36-H36)*24)</f>
        <v/>
      </c>
      <c r="P36" s="46"/>
      <c r="Q36" s="59" t="s">
        <v>244</v>
      </c>
      <c r="R36" s="59" t="s">
        <v>245</v>
      </c>
      <c r="S36" s="59" t="s">
        <v>246</v>
      </c>
    </row>
    <row r="37" customFormat="false" ht="36" hidden="false" customHeight="true" outlineLevel="0" collapsed="false">
      <c r="A37" s="23" t="n">
        <v>32</v>
      </c>
      <c r="B37" s="60" t="s">
        <v>240</v>
      </c>
      <c r="C37" s="23" t="s">
        <v>247</v>
      </c>
      <c r="D37" s="61" t="s">
        <v>248</v>
      </c>
      <c r="E37" s="62" t="s">
        <v>249</v>
      </c>
      <c r="F37" s="23" t="s">
        <v>114</v>
      </c>
      <c r="G37" s="26" t="e">
        <f aca="false">ROUND(10*$H$3,0)</f>
        <v>#VALUE!</v>
      </c>
      <c r="H37" s="25" t="e">
        <f aca="false">$C$3+G37</f>
        <v>#VALUE!</v>
      </c>
      <c r="I37" s="52"/>
      <c r="J37" s="53" t="n">
        <f aca="false">IF(I37="Complete",1,IF(I37="Skipped",1,IF(I37="Blocked",0.5,IF(I37="In Progress",0.25,0))))</f>
        <v>0</v>
      </c>
      <c r="K37" s="54"/>
      <c r="L37" s="55"/>
      <c r="M37" s="56"/>
      <c r="N37" s="57" t="str">
        <f aca="false">IF(M37="","",M37-H37)</f>
        <v/>
      </c>
      <c r="O37" s="58" t="str">
        <f aca="false">IF(M37="","",ABS(M37-H37)*24)</f>
        <v/>
      </c>
      <c r="P37" s="23"/>
      <c r="Q37" s="63" t="s">
        <v>250</v>
      </c>
      <c r="R37" s="63" t="s">
        <v>251</v>
      </c>
      <c r="S37" s="63"/>
    </row>
    <row r="38" customFormat="false" ht="36" hidden="false" customHeight="true" outlineLevel="0" collapsed="false">
      <c r="A38" s="11" t="n">
        <v>33</v>
      </c>
      <c r="B38" s="64" t="s">
        <v>240</v>
      </c>
      <c r="C38" s="11" t="s">
        <v>252</v>
      </c>
      <c r="D38" s="65" t="s">
        <v>253</v>
      </c>
      <c r="E38" s="66" t="s">
        <v>254</v>
      </c>
      <c r="F38" s="11" t="s">
        <v>152</v>
      </c>
      <c r="G38" s="17" t="e">
        <f aca="false">ROUND(10*$H$3,0)</f>
        <v>#VALUE!</v>
      </c>
      <c r="H38" s="16" t="e">
        <f aca="false">$C$3+G38</f>
        <v>#VALUE!</v>
      </c>
      <c r="I38" s="52"/>
      <c r="J38" s="53" t="n">
        <f aca="false">IF(I38="Complete",1,IF(I38="Skipped",1,IF(I38="Blocked",0.5,IF(I38="In Progress",0.25,0))))</f>
        <v>0</v>
      </c>
      <c r="K38" s="54"/>
      <c r="L38" s="55"/>
      <c r="M38" s="56"/>
      <c r="N38" s="57" t="str">
        <f aca="false">IF(M38="","",M38-H38)</f>
        <v/>
      </c>
      <c r="O38" s="58" t="str">
        <f aca="false">IF(M38="","",ABS(M38-H38)*24)</f>
        <v/>
      </c>
      <c r="P38" s="11"/>
      <c r="Q38" s="67" t="s">
        <v>255</v>
      </c>
      <c r="R38" s="67" t="s">
        <v>256</v>
      </c>
      <c r="S38" s="67" t="s">
        <v>257</v>
      </c>
    </row>
    <row r="39" customFormat="false" ht="36" hidden="false" customHeight="true" outlineLevel="0" collapsed="false">
      <c r="A39" s="23" t="n">
        <v>34</v>
      </c>
      <c r="B39" s="60" t="s">
        <v>240</v>
      </c>
      <c r="C39" s="23" t="s">
        <v>258</v>
      </c>
      <c r="D39" s="61" t="s">
        <v>259</v>
      </c>
      <c r="E39" s="62" t="s">
        <v>260</v>
      </c>
      <c r="F39" s="23" t="s">
        <v>64</v>
      </c>
      <c r="G39" s="26" t="e">
        <f aca="false">ROUND(10*$H$3,0)</f>
        <v>#VALUE!</v>
      </c>
      <c r="H39" s="25" t="e">
        <f aca="false">$C$3+G39</f>
        <v>#VALUE!</v>
      </c>
      <c r="I39" s="52"/>
      <c r="J39" s="53" t="n">
        <f aca="false">IF(I39="Complete",1,IF(I39="Skipped",1,IF(I39="Blocked",0.5,IF(I39="In Progress",0.25,0))))</f>
        <v>0</v>
      </c>
      <c r="K39" s="54"/>
      <c r="L39" s="55"/>
      <c r="M39" s="56"/>
      <c r="N39" s="57" t="str">
        <f aca="false">IF(M39="","",M39-H39)</f>
        <v/>
      </c>
      <c r="O39" s="58" t="str">
        <f aca="false">IF(M39="","",ABS(M39-H39)*24)</f>
        <v/>
      </c>
      <c r="P39" s="23"/>
      <c r="Q39" s="63" t="s">
        <v>261</v>
      </c>
      <c r="R39" s="63" t="s">
        <v>262</v>
      </c>
      <c r="S39" s="63"/>
    </row>
    <row r="40" customFormat="false" ht="36" hidden="false" customHeight="true" outlineLevel="0" collapsed="false">
      <c r="A40" s="46" t="n">
        <v>35</v>
      </c>
      <c r="B40" s="47" t="s">
        <v>263</v>
      </c>
      <c r="C40" s="46" t="s">
        <v>264</v>
      </c>
      <c r="D40" s="48" t="s">
        <v>265</v>
      </c>
      <c r="E40" s="49" t="s">
        <v>266</v>
      </c>
      <c r="F40" s="46" t="s">
        <v>64</v>
      </c>
      <c r="G40" s="50" t="e">
        <f aca="false">ROUND(10*$H$3,0)</f>
        <v>#VALUE!</v>
      </c>
      <c r="H40" s="51" t="e">
        <f aca="false">$C$3+G40</f>
        <v>#VALUE!</v>
      </c>
      <c r="I40" s="52"/>
      <c r="J40" s="53" t="n">
        <f aca="false">IF(I40="Complete",1,IF(I40="Skipped",1,IF(I40="Blocked",0.5,IF(I40="In Progress",0.25,0))))</f>
        <v>0</v>
      </c>
      <c r="K40" s="54"/>
      <c r="L40" s="55"/>
      <c r="M40" s="56"/>
      <c r="N40" s="57" t="str">
        <f aca="false">IF(M40="","",M40-H40)</f>
        <v/>
      </c>
      <c r="O40" s="58" t="str">
        <f aca="false">IF(M40="","",ABS(M40-H40)*24)</f>
        <v/>
      </c>
      <c r="P40" s="46"/>
      <c r="Q40" s="59" t="s">
        <v>267</v>
      </c>
      <c r="R40" s="59" t="s">
        <v>268</v>
      </c>
      <c r="S40" s="59" t="s">
        <v>269</v>
      </c>
    </row>
    <row r="41" customFormat="false" ht="36" hidden="false" customHeight="true" outlineLevel="0" collapsed="false">
      <c r="A41" s="46" t="n">
        <v>36</v>
      </c>
      <c r="B41" s="47" t="s">
        <v>270</v>
      </c>
      <c r="C41" s="46" t="s">
        <v>271</v>
      </c>
      <c r="D41" s="48" t="s">
        <v>272</v>
      </c>
      <c r="E41" s="49" t="s">
        <v>273</v>
      </c>
      <c r="F41" s="46" t="s">
        <v>214</v>
      </c>
      <c r="G41" s="50" t="e">
        <f aca="false">ROUND(11*$H$3,0)</f>
        <v>#VALUE!</v>
      </c>
      <c r="H41" s="51" t="e">
        <f aca="false">$C$3+G41</f>
        <v>#VALUE!</v>
      </c>
      <c r="I41" s="52"/>
      <c r="J41" s="53" t="n">
        <f aca="false">IF(I41="Complete",1,IF(I41="Skipped",1,IF(I41="Blocked",0.5,IF(I41="In Progress",0.25,0))))</f>
        <v>0</v>
      </c>
      <c r="K41" s="54"/>
      <c r="L41" s="55"/>
      <c r="M41" s="56"/>
      <c r="N41" s="57" t="str">
        <f aca="false">IF(M41="","",M41-H41)</f>
        <v/>
      </c>
      <c r="O41" s="58" t="str">
        <f aca="false">IF(M41="","",ABS(M41-H41)*24)</f>
        <v/>
      </c>
      <c r="P41" s="46"/>
      <c r="Q41" s="59" t="s">
        <v>274</v>
      </c>
      <c r="R41" s="59" t="s">
        <v>275</v>
      </c>
      <c r="S41" s="59" t="s">
        <v>276</v>
      </c>
    </row>
    <row r="42" customFormat="false" ht="36" hidden="false" customHeight="true" outlineLevel="0" collapsed="false">
      <c r="A42" s="11" t="n">
        <v>37</v>
      </c>
      <c r="B42" s="64" t="s">
        <v>270</v>
      </c>
      <c r="C42" s="11" t="s">
        <v>277</v>
      </c>
      <c r="D42" s="65" t="s">
        <v>278</v>
      </c>
      <c r="E42" s="66" t="s">
        <v>279</v>
      </c>
      <c r="F42" s="11" t="s">
        <v>64</v>
      </c>
      <c r="G42" s="17" t="e">
        <f aca="false">ROUND(11*$H$3,0)</f>
        <v>#VALUE!</v>
      </c>
      <c r="H42" s="16" t="e">
        <f aca="false">$C$3+G42</f>
        <v>#VALUE!</v>
      </c>
      <c r="I42" s="52"/>
      <c r="J42" s="53" t="n">
        <f aca="false">IF(I42="Complete",1,IF(I42="Skipped",1,IF(I42="Blocked",0.5,IF(I42="In Progress",0.25,0))))</f>
        <v>0</v>
      </c>
      <c r="K42" s="54"/>
      <c r="L42" s="55"/>
      <c r="M42" s="56"/>
      <c r="N42" s="57" t="str">
        <f aca="false">IF(M42="","",M42-H42)</f>
        <v/>
      </c>
      <c r="O42" s="58" t="str">
        <f aca="false">IF(M42="","",ABS(M42-H42)*24)</f>
        <v/>
      </c>
      <c r="P42" s="11"/>
      <c r="Q42" s="67" t="s">
        <v>280</v>
      </c>
      <c r="R42" s="67" t="s">
        <v>281</v>
      </c>
      <c r="S42" s="67" t="s">
        <v>282</v>
      </c>
    </row>
    <row r="43" customFormat="false" ht="36" hidden="false" customHeight="true" outlineLevel="0" collapsed="false">
      <c r="A43" s="23" t="n">
        <v>38</v>
      </c>
      <c r="B43" s="60" t="s">
        <v>270</v>
      </c>
      <c r="C43" s="23" t="s">
        <v>283</v>
      </c>
      <c r="D43" s="61" t="s">
        <v>284</v>
      </c>
      <c r="E43" s="62" t="s">
        <v>285</v>
      </c>
      <c r="F43" s="23" t="s">
        <v>114</v>
      </c>
      <c r="G43" s="26" t="e">
        <f aca="false">ROUND(11*$H$3,0)</f>
        <v>#VALUE!</v>
      </c>
      <c r="H43" s="25" t="e">
        <f aca="false">$C$3+G43</f>
        <v>#VALUE!</v>
      </c>
      <c r="I43" s="52"/>
      <c r="J43" s="53" t="n">
        <f aca="false">IF(I43="Complete",1,IF(I43="Skipped",1,IF(I43="Blocked",0.5,IF(I43="In Progress",0.25,0))))</f>
        <v>0</v>
      </c>
      <c r="K43" s="54"/>
      <c r="L43" s="55"/>
      <c r="M43" s="56"/>
      <c r="N43" s="57" t="str">
        <f aca="false">IF(M43="","",M43-H43)</f>
        <v/>
      </c>
      <c r="O43" s="58" t="str">
        <f aca="false">IF(M43="","",ABS(M43-H43)*24)</f>
        <v/>
      </c>
      <c r="P43" s="23"/>
      <c r="Q43" s="63" t="s">
        <v>286</v>
      </c>
      <c r="R43" s="63" t="s">
        <v>287</v>
      </c>
      <c r="S43" s="63"/>
    </row>
    <row r="44" customFormat="false" ht="36" hidden="false" customHeight="true" outlineLevel="0" collapsed="false">
      <c r="A44" s="46" t="n">
        <v>39</v>
      </c>
      <c r="B44" s="47" t="s">
        <v>288</v>
      </c>
      <c r="C44" s="46" t="s">
        <v>289</v>
      </c>
      <c r="D44" s="48" t="s">
        <v>290</v>
      </c>
      <c r="E44" s="49" t="s">
        <v>291</v>
      </c>
      <c r="F44" s="46" t="s">
        <v>64</v>
      </c>
      <c r="G44" s="50" t="e">
        <f aca="false">ROUND(12*$H$3,0)</f>
        <v>#VALUE!</v>
      </c>
      <c r="H44" s="51" t="e">
        <f aca="false">$C$3+G44</f>
        <v>#VALUE!</v>
      </c>
      <c r="I44" s="52"/>
      <c r="J44" s="53" t="n">
        <f aca="false">IF(I44="Complete",1,IF(I44="Skipped",1,IF(I44="Blocked",0.5,IF(I44="In Progress",0.25,0))))</f>
        <v>0</v>
      </c>
      <c r="K44" s="54"/>
      <c r="L44" s="55"/>
      <c r="M44" s="56"/>
      <c r="N44" s="57" t="str">
        <f aca="false">IF(M44="","",M44-H44)</f>
        <v/>
      </c>
      <c r="O44" s="58" t="str">
        <f aca="false">IF(M44="","",ABS(M44-H44)*24)</f>
        <v/>
      </c>
      <c r="P44" s="46"/>
      <c r="Q44" s="59" t="s">
        <v>292</v>
      </c>
      <c r="R44" s="59" t="s">
        <v>293</v>
      </c>
      <c r="S44" s="59" t="s">
        <v>294</v>
      </c>
    </row>
    <row r="45" customFormat="false" ht="36" hidden="false" customHeight="true" outlineLevel="0" collapsed="false">
      <c r="A45" s="23" t="n">
        <v>40</v>
      </c>
      <c r="B45" s="60" t="s">
        <v>288</v>
      </c>
      <c r="C45" s="23" t="s">
        <v>295</v>
      </c>
      <c r="D45" s="61" t="s">
        <v>296</v>
      </c>
      <c r="E45" s="62" t="s">
        <v>297</v>
      </c>
      <c r="F45" s="23" t="s">
        <v>64</v>
      </c>
      <c r="G45" s="26" t="e">
        <f aca="false">ROUND(12*$H$3,0)</f>
        <v>#VALUE!</v>
      </c>
      <c r="H45" s="25" t="e">
        <f aca="false">$C$3+G45</f>
        <v>#VALUE!</v>
      </c>
      <c r="I45" s="52"/>
      <c r="J45" s="53" t="n">
        <f aca="false">IF(I45="Complete",1,IF(I45="Skipped",1,IF(I45="Blocked",0.5,IF(I45="In Progress",0.25,0))))</f>
        <v>0</v>
      </c>
      <c r="K45" s="54"/>
      <c r="L45" s="55"/>
      <c r="M45" s="56"/>
      <c r="N45" s="57" t="str">
        <f aca="false">IF(M45="","",M45-H45)</f>
        <v/>
      </c>
      <c r="O45" s="58" t="str">
        <f aca="false">IF(M45="","",ABS(M45-H45)*24)</f>
        <v/>
      </c>
      <c r="P45" s="23"/>
      <c r="Q45" s="63" t="s">
        <v>298</v>
      </c>
      <c r="R45" s="63" t="s">
        <v>299</v>
      </c>
      <c r="S45" s="63" t="s">
        <v>300</v>
      </c>
    </row>
    <row r="46" customFormat="false" ht="36" hidden="false" customHeight="true" outlineLevel="0" collapsed="false">
      <c r="A46" s="11" t="n">
        <v>41</v>
      </c>
      <c r="B46" s="64" t="s">
        <v>288</v>
      </c>
      <c r="C46" s="11" t="s">
        <v>301</v>
      </c>
      <c r="D46" s="65" t="s">
        <v>302</v>
      </c>
      <c r="E46" s="66" t="s">
        <v>303</v>
      </c>
      <c r="F46" s="11" t="s">
        <v>114</v>
      </c>
      <c r="G46" s="17" t="e">
        <f aca="false">ROUND(12*$H$3,0)</f>
        <v>#VALUE!</v>
      </c>
      <c r="H46" s="16" t="e">
        <f aca="false">$C$3+G46</f>
        <v>#VALUE!</v>
      </c>
      <c r="I46" s="52"/>
      <c r="J46" s="53" t="n">
        <f aca="false">IF(I46="Complete",1,IF(I46="Skipped",1,IF(I46="Blocked",0.5,IF(I46="In Progress",0.25,0))))</f>
        <v>0</v>
      </c>
      <c r="K46" s="54"/>
      <c r="L46" s="55"/>
      <c r="M46" s="56"/>
      <c r="N46" s="57" t="str">
        <f aca="false">IF(M46="","",M46-H46)</f>
        <v/>
      </c>
      <c r="O46" s="58" t="str">
        <f aca="false">IF(M46="","",ABS(M46-H46)*24)</f>
        <v/>
      </c>
      <c r="P46" s="11"/>
      <c r="Q46" s="67" t="s">
        <v>304</v>
      </c>
      <c r="R46" s="67" t="s">
        <v>305</v>
      </c>
      <c r="S46" s="67" t="s">
        <v>306</v>
      </c>
    </row>
    <row r="47" customFormat="false" ht="36" hidden="false" customHeight="true" outlineLevel="0" collapsed="false">
      <c r="A47" s="23" t="n">
        <v>42</v>
      </c>
      <c r="B47" s="60" t="s">
        <v>288</v>
      </c>
      <c r="C47" s="23" t="s">
        <v>307</v>
      </c>
      <c r="D47" s="61" t="s">
        <v>308</v>
      </c>
      <c r="E47" s="62" t="s">
        <v>309</v>
      </c>
      <c r="F47" s="23" t="s">
        <v>64</v>
      </c>
      <c r="G47" s="26" t="e">
        <f aca="false">ROUND(13*$H$3,0)</f>
        <v>#VALUE!</v>
      </c>
      <c r="H47" s="25" t="e">
        <f aca="false">$C$3+G47</f>
        <v>#VALUE!</v>
      </c>
      <c r="I47" s="52"/>
      <c r="J47" s="53" t="n">
        <f aca="false">IF(I47="Complete",1,IF(I47="Skipped",1,IF(I47="Blocked",0.5,IF(I47="In Progress",0.25,0))))</f>
        <v>0</v>
      </c>
      <c r="K47" s="54"/>
      <c r="L47" s="55"/>
      <c r="M47" s="56"/>
      <c r="N47" s="57" t="str">
        <f aca="false">IF(M47="","",M47-H47)</f>
        <v/>
      </c>
      <c r="O47" s="58" t="str">
        <f aca="false">IF(M47="","",ABS(M47-H47)*24)</f>
        <v/>
      </c>
      <c r="P47" s="23"/>
      <c r="Q47" s="63" t="s">
        <v>310</v>
      </c>
      <c r="R47" s="63" t="s">
        <v>311</v>
      </c>
      <c r="S47" s="63" t="s">
        <v>312</v>
      </c>
    </row>
    <row r="48" customFormat="false" ht="36" hidden="false" customHeight="true" outlineLevel="0" collapsed="false">
      <c r="A48" s="11" t="n">
        <v>43</v>
      </c>
      <c r="B48" s="64" t="s">
        <v>288</v>
      </c>
      <c r="C48" s="11" t="s">
        <v>313</v>
      </c>
      <c r="D48" s="65" t="s">
        <v>314</v>
      </c>
      <c r="E48" s="66" t="s">
        <v>315</v>
      </c>
      <c r="F48" s="11" t="s">
        <v>214</v>
      </c>
      <c r="G48" s="17" t="e">
        <f aca="false">ROUND(13*$H$3,0)</f>
        <v>#VALUE!</v>
      </c>
      <c r="H48" s="16" t="e">
        <f aca="false">$C$3+G48</f>
        <v>#VALUE!</v>
      </c>
      <c r="I48" s="52"/>
      <c r="J48" s="53" t="n">
        <f aca="false">IF(I48="Complete",1,IF(I48="Skipped",1,IF(I48="Blocked",0.5,IF(I48="In Progress",0.25,0))))</f>
        <v>0</v>
      </c>
      <c r="K48" s="54"/>
      <c r="L48" s="55"/>
      <c r="M48" s="56"/>
      <c r="N48" s="57" t="str">
        <f aca="false">IF(M48="","",M48-H48)</f>
        <v/>
      </c>
      <c r="O48" s="58" t="str">
        <f aca="false">IF(M48="","",ABS(M48-H48)*24)</f>
        <v/>
      </c>
      <c r="P48" s="11"/>
      <c r="Q48" s="67" t="s">
        <v>316</v>
      </c>
      <c r="R48" s="67" t="s">
        <v>317</v>
      </c>
      <c r="S48" s="67" t="s">
        <v>318</v>
      </c>
    </row>
    <row r="49" customFormat="false" ht="36" hidden="false" customHeight="true" outlineLevel="0" collapsed="false">
      <c r="A49" s="23" t="n">
        <v>44</v>
      </c>
      <c r="B49" s="60" t="s">
        <v>288</v>
      </c>
      <c r="C49" s="23" t="s">
        <v>319</v>
      </c>
      <c r="D49" s="61" t="s">
        <v>320</v>
      </c>
      <c r="E49" s="62" t="s">
        <v>321</v>
      </c>
      <c r="F49" s="23" t="s">
        <v>64</v>
      </c>
      <c r="G49" s="26" t="e">
        <f aca="false">ROUND(14*$H$3,0)</f>
        <v>#VALUE!</v>
      </c>
      <c r="H49" s="25" t="e">
        <f aca="false">$C$3+G49</f>
        <v>#VALUE!</v>
      </c>
      <c r="I49" s="52"/>
      <c r="J49" s="53" t="n">
        <f aca="false">IF(I49="Complete",1,IF(I49="Skipped",1,IF(I49="Blocked",0.5,IF(I49="In Progress",0.25,0))))</f>
        <v>0</v>
      </c>
      <c r="K49" s="54"/>
      <c r="L49" s="55"/>
      <c r="M49" s="56"/>
      <c r="N49" s="57" t="str">
        <f aca="false">IF(M49="","",M49-H49)</f>
        <v/>
      </c>
      <c r="O49" s="58" t="str">
        <f aca="false">IF(M49="","",ABS(M49-H49)*24)</f>
        <v/>
      </c>
      <c r="P49" s="23"/>
      <c r="Q49" s="63" t="s">
        <v>322</v>
      </c>
      <c r="R49" s="63" t="s">
        <v>323</v>
      </c>
      <c r="S49" s="63" t="s">
        <v>324</v>
      </c>
    </row>
    <row r="50" customFormat="false" ht="36" hidden="false" customHeight="true" outlineLevel="0" collapsed="false">
      <c r="A50" s="11" t="n">
        <v>45</v>
      </c>
      <c r="B50" s="64" t="s">
        <v>288</v>
      </c>
      <c r="C50" s="11" t="s">
        <v>325</v>
      </c>
      <c r="D50" s="65" t="s">
        <v>326</v>
      </c>
      <c r="E50" s="66" t="s">
        <v>327</v>
      </c>
      <c r="F50" s="11" t="s">
        <v>64</v>
      </c>
      <c r="G50" s="17" t="e">
        <f aca="false">ROUND(14*$H$3,0)</f>
        <v>#VALUE!</v>
      </c>
      <c r="H50" s="16" t="e">
        <f aca="false">$C$3+G50</f>
        <v>#VALUE!</v>
      </c>
      <c r="I50" s="52"/>
      <c r="J50" s="53" t="n">
        <f aca="false">IF(I50="Complete",1,IF(I50="Skipped",1,IF(I50="Blocked",0.5,IF(I50="In Progress",0.25,0))))</f>
        <v>0</v>
      </c>
      <c r="K50" s="54"/>
      <c r="L50" s="55"/>
      <c r="M50" s="56"/>
      <c r="N50" s="57" t="str">
        <f aca="false">IF(M50="","",M50-H50)</f>
        <v/>
      </c>
      <c r="O50" s="58" t="str">
        <f aca="false">IF(M50="","",ABS(M50-H50)*24)</f>
        <v/>
      </c>
      <c r="P50" s="11"/>
      <c r="Q50" s="67" t="s">
        <v>328</v>
      </c>
      <c r="R50" s="67" t="s">
        <v>66</v>
      </c>
      <c r="S50" s="67" t="s">
        <v>329</v>
      </c>
    </row>
    <row r="51" customFormat="false" ht="36" hidden="false" customHeight="true" outlineLevel="0" collapsed="false">
      <c r="A51" s="23" t="n">
        <v>46</v>
      </c>
      <c r="B51" s="60" t="s">
        <v>288</v>
      </c>
      <c r="C51" s="23" t="s">
        <v>330</v>
      </c>
      <c r="D51" s="61" t="s">
        <v>331</v>
      </c>
      <c r="E51" s="62" t="s">
        <v>332</v>
      </c>
      <c r="F51" s="23" t="s">
        <v>114</v>
      </c>
      <c r="G51" s="26" t="e">
        <f aca="false">ROUND(14*$H$3,0)</f>
        <v>#VALUE!</v>
      </c>
      <c r="H51" s="25" t="e">
        <f aca="false">$C$3+G51</f>
        <v>#VALUE!</v>
      </c>
      <c r="I51" s="52"/>
      <c r="J51" s="53" t="n">
        <f aca="false">IF(I51="Complete",1,IF(I51="Skipped",1,IF(I51="Blocked",0.5,IF(I51="In Progress",0.25,0))))</f>
        <v>0</v>
      </c>
      <c r="K51" s="54"/>
      <c r="L51" s="55"/>
      <c r="M51" s="56"/>
      <c r="N51" s="57" t="str">
        <f aca="false">IF(M51="","",M51-H51)</f>
        <v/>
      </c>
      <c r="O51" s="58" t="str">
        <f aca="false">IF(M51="","",ABS(M51-H51)*24)</f>
        <v/>
      </c>
      <c r="P51" s="23"/>
      <c r="Q51" s="63" t="s">
        <v>333</v>
      </c>
      <c r="R51" s="63" t="s">
        <v>116</v>
      </c>
      <c r="S51" s="63" t="s">
        <v>334</v>
      </c>
    </row>
    <row r="53" customFormat="false" ht="15" hidden="false" customHeight="true" outlineLevel="0" collapsed="false">
      <c r="A53" s="9" t="s">
        <v>335</v>
      </c>
      <c r="B53" s="9"/>
      <c r="C53" s="9"/>
      <c r="D53" s="9"/>
      <c r="E53" s="9"/>
      <c r="F53" s="9"/>
      <c r="G53" s="31"/>
      <c r="H53" s="31"/>
      <c r="I53" s="68" t="s">
        <v>336</v>
      </c>
      <c r="J53" s="69" t="n">
        <f aca="false">AVERAGE(J6:J51)</f>
        <v>0</v>
      </c>
      <c r="K53" s="31"/>
      <c r="L53" s="68" t="s">
        <v>337</v>
      </c>
      <c r="M53" s="9" t="n">
        <f aca="false">SUMPRODUCT((M6:M51&lt;&gt;"")*1)</f>
        <v>0</v>
      </c>
      <c r="N53" s="31"/>
      <c r="O53" s="33" t="n">
        <f aca="false">SUM(O6:O51)</f>
        <v>0</v>
      </c>
      <c r="P53" s="31"/>
      <c r="Q53" s="31"/>
      <c r="R53" s="31"/>
      <c r="S53" s="31"/>
    </row>
    <row r="54" customFormat="false" ht="15" hidden="false" customHeight="false" outlineLevel="0" collapsed="false">
      <c r="M54" s="70" t="s">
        <v>338</v>
      </c>
      <c r="N54" s="71" t="str">
        <f aca="false">IFERROR(AVERAGE(N6:N51),"")</f>
        <v/>
      </c>
    </row>
    <row r="55" customFormat="false" ht="15" hidden="false" customHeight="false" outlineLevel="0" collapsed="false">
      <c r="M55" s="70" t="s">
        <v>339</v>
      </c>
      <c r="N55" s="72" t="n">
        <f aca="false">IFERROR(MAX(N6:N51),"")</f>
        <v>0</v>
      </c>
    </row>
  </sheetData>
  <autoFilter ref="A5:S5"/>
  <mergeCells count="5">
    <mergeCell ref="A1:S1"/>
    <mergeCell ref="A3:B3"/>
    <mergeCell ref="E3:F3"/>
    <mergeCell ref="I3:J3"/>
    <mergeCell ref="A53:F53"/>
  </mergeCells>
  <conditionalFormatting sqref="I6:I51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0">
      <formula>"Skipped"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2">
      <formula>"In Progress"</formula>
    </cfRule>
  </conditionalFormatting>
  <conditionalFormatting sqref="J6:J51">
    <cfRule type="expression" priority="6" aboveAverage="0" equalAverage="0" bottom="0" percent="0" rank="0" text="" dxfId="14">
      <formula>$J6=1</formula>
    </cfRule>
    <cfRule type="expression" priority="7" aboveAverage="0" equalAverage="0" bottom="0" percent="0" rank="0" text="" dxfId="15">
      <formula>$J6&gt;=0.5</formula>
    </cfRule>
    <cfRule type="expression" priority="8" aboveAverage="0" equalAverage="0" bottom="0" percent="0" rank="0" text="" dxfId="16">
      <formula>$J6&gt;=0.25</formula>
    </cfRule>
  </conditionalFormatting>
  <conditionalFormatting sqref="K6:K51">
    <cfRule type="expression" priority="9" aboveAverage="0" equalAverage="0" bottom="0" percent="0" rank="0" text="" dxfId="17">
      <formula>AND($I6="Complete",$K6="")</formula>
    </cfRule>
    <cfRule type="expression" priority="10" aboveAverage="0" equalAverage="0" bottom="0" percent="0" rank="0" text="" dxfId="14">
      <formula>AND(OR($I6="Complete",$I6="Skipped"),$K6&lt;&gt;"")</formula>
    </cfRule>
  </conditionalFormatting>
  <conditionalFormatting sqref="L6:L51">
    <cfRule type="expression" priority="11" aboveAverage="0" equalAverage="0" bottom="0" percent="0" rank="0" text="" dxfId="17">
      <formula>AND($I6="Complete",$L6="")</formula>
    </cfRule>
    <cfRule type="expression" priority="12" aboveAverage="0" equalAverage="0" bottom="0" percent="0" rank="0" text="" dxfId="18">
      <formula>AND($I6="In Progress",$L6="")</formula>
    </cfRule>
  </conditionalFormatting>
  <conditionalFormatting sqref="M6:M51">
    <cfRule type="expression" priority="13" aboveAverage="0" equalAverage="0" bottom="0" percent="0" rank="0" text="" dxfId="17">
      <formula>AND($I6="Complete",$M6="")</formula>
    </cfRule>
    <cfRule type="expression" priority="14" aboveAverage="0" equalAverage="0" bottom="0" percent="0" rank="0" text="" dxfId="14">
      <formula>AND($I6="Complete",$M6&lt;&gt;"")</formula>
    </cfRule>
  </conditionalFormatting>
  <conditionalFormatting sqref="A6:S51">
    <cfRule type="expression" priority="15" aboveAverage="0" equalAverage="0" bottom="0" percent="0" rank="0" text="" dxfId="19">
      <formula>AND($M6&lt;&gt;"",$N6&gt;=5)</formula>
    </cfRule>
    <cfRule type="expression" priority="16" aboveAverage="0" equalAverage="0" bottom="0" percent="0" rank="0" text="" dxfId="19">
      <formula>AND($M6&lt;&gt;"",$N6&gt;=4)</formula>
    </cfRule>
    <cfRule type="expression" priority="17" aboveAverage="0" equalAverage="0" bottom="0" percent="0" rank="0" text="" dxfId="20">
      <formula>AND($M6&lt;&gt;"",$N6&gt;=3)</formula>
    </cfRule>
    <cfRule type="expression" priority="18" aboveAverage="0" equalAverage="0" bottom="0" percent="0" rank="0" text="" dxfId="20">
      <formula>AND($M6&lt;&gt;"",$N6&gt;=2)</formula>
    </cfRule>
    <cfRule type="expression" priority="19" aboveAverage="0" equalAverage="0" bottom="0" percent="0" rank="0" text="" dxfId="21">
      <formula>AND($M6&lt;&gt;"",$N6&gt;=1)</formula>
    </cfRule>
    <cfRule type="expression" priority="20" aboveAverage="0" equalAverage="0" bottom="0" percent="0" rank="0" text="" dxfId="22">
      <formula>AND($M6&lt;&gt;"",$N6&lt;=0)</formula>
    </cfRule>
  </conditionalFormatting>
  <conditionalFormatting sqref="N6:N51">
    <cfRule type="expression" priority="21" aboveAverage="0" equalAverage="0" bottom="0" percent="0" rank="0" text="" dxfId="23">
      <formula>AND($M6&lt;&gt;"",$N6&gt;=5)</formula>
    </cfRule>
    <cfRule type="expression" priority="22" aboveAverage="0" equalAverage="0" bottom="0" percent="0" rank="0" text="" dxfId="24">
      <formula>AND($M6&lt;&gt;"",$N6&gt;=3)</formula>
    </cfRule>
    <cfRule type="expression" priority="23" aboveAverage="0" equalAverage="0" bottom="0" percent="0" rank="0" text="" dxfId="25">
      <formula>AND($M6&lt;&gt;"",$N6&gt;=1)</formula>
    </cfRule>
    <cfRule type="expression" priority="24" aboveAverage="0" equalAverage="0" bottom="0" percent="0" rank="0" text="" dxfId="26">
      <formula>AND($M6&lt;&gt;"",$N6&lt;=0)</formula>
    </cfRule>
  </conditionalFormatting>
  <dataValidations count="3">
    <dataValidation allowBlank="true" errorStyle="stop" operator="between" prompt="Complete needs: sign-off name + report link + completed date" promptTitle="Status" showDropDown="false" showErrorMessage="false" showInputMessage="true" sqref="I6:I51" type="list">
      <formula1>"Not Started,In Progress,Blocked,Complete,Skipped"</formula1>
      <formula2>0</formula2>
    </dataValidation>
    <dataValidation allowBlank="true" errorStyle="stop" operator="between" prompt="Select team member" promptTitle="Sign Off" showDropDown="false" showErrorMessage="false" showInputMessage="true" sqref="K6:K51" type="list">
      <formula1>TeamMembers</formula1>
      <formula2>0</formula2>
    </dataValidation>
    <dataValidation allowBlank="true" error="Enter a valid date (YYYY-MM-DD)" errorStyle="stop" errorTitle="Invalid Date" operator="greaterThan" prompt="Type the completion date (YYYY-MM-DD)" promptTitle="Completed Date" showDropDown="false" showErrorMessage="true" showInputMessage="true" sqref="M6:M51" type="date">
      <formula1>2020-1-1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tru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4" min="14" style="0" width="7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46"/>
    <col collapsed="false" customWidth="true" hidden="false" outlineLevel="0" max="19" min="18" style="0" width="38"/>
  </cols>
  <sheetData>
    <row r="1" customFormat="false" ht="17.35" hidden="false" customHeight="false" outlineLevel="0" collapsed="false">
      <c r="A1" s="1" t="str">
        <f aca="false">IF(Config!B8&lt;&gt;"",Config!B8&amp;" — DNS, Certificate &amp; SSO Migration Runbook","Project 3 — Assign name on Config sheet")</f>
        <v>Project 3 — Assign name on Config sheet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27.75" hidden="false" customHeight="true" outlineLevel="0" collapsed="false">
      <c r="A3" s="35" t="s">
        <v>40</v>
      </c>
      <c r="B3" s="35"/>
      <c r="C3" s="36" t="n">
        <f aca="false">Config!C8</f>
        <v>0</v>
      </c>
      <c r="D3" s="35" t="s">
        <v>41</v>
      </c>
      <c r="E3" s="37" t="n">
        <f aca="false">Config!D8</f>
        <v>0</v>
      </c>
      <c r="F3" s="37"/>
      <c r="G3" s="35" t="s">
        <v>42</v>
      </c>
      <c r="H3" s="38" t="str">
        <f aca="false">Config!E8</f>
        <v/>
      </c>
      <c r="I3" s="35" t="s">
        <v>43</v>
      </c>
      <c r="J3" s="35"/>
      <c r="K3" s="36" t="str">
        <f aca="false">Config!F8</f>
        <v/>
      </c>
      <c r="L3" s="35" t="s">
        <v>44</v>
      </c>
      <c r="M3" s="39" t="str">
        <f aca="false">Config!G8</f>
        <v/>
      </c>
      <c r="N3" s="40"/>
      <c r="O3" s="40"/>
      <c r="P3" s="40"/>
      <c r="Q3" s="40"/>
      <c r="R3" s="40"/>
      <c r="S3" s="40"/>
    </row>
    <row r="5" customFormat="false" ht="35.05" hidden="false" customHeight="false" outlineLevel="0" collapsed="false">
      <c r="A5" s="9" t="s">
        <v>10</v>
      </c>
      <c r="B5" s="9" t="s">
        <v>45</v>
      </c>
      <c r="C5" s="9" t="s">
        <v>46</v>
      </c>
      <c r="D5" s="9" t="s">
        <v>47</v>
      </c>
      <c r="E5" s="9" t="s">
        <v>48</v>
      </c>
      <c r="F5" s="9" t="s">
        <v>49</v>
      </c>
      <c r="G5" s="9" t="s">
        <v>50</v>
      </c>
      <c r="H5" s="9" t="s">
        <v>51</v>
      </c>
      <c r="I5" s="41" t="s">
        <v>20</v>
      </c>
      <c r="J5" s="42" t="s">
        <v>17</v>
      </c>
      <c r="K5" s="43" t="s">
        <v>52</v>
      </c>
      <c r="L5" s="44" t="s">
        <v>53</v>
      </c>
      <c r="M5" s="45" t="s">
        <v>18</v>
      </c>
      <c r="N5" s="9" t="s">
        <v>54</v>
      </c>
      <c r="O5" s="9" t="s">
        <v>55</v>
      </c>
      <c r="P5" s="9" t="s">
        <v>56</v>
      </c>
      <c r="Q5" s="9" t="s">
        <v>57</v>
      </c>
      <c r="R5" s="9" t="s">
        <v>58</v>
      </c>
      <c r="S5" s="9" t="s">
        <v>59</v>
      </c>
    </row>
    <row r="6" customFormat="false" ht="36" hidden="false" customHeight="true" outlineLevel="0" collapsed="false">
      <c r="A6" s="46" t="n">
        <v>1</v>
      </c>
      <c r="B6" s="47" t="s">
        <v>60</v>
      </c>
      <c r="C6" s="46" t="s">
        <v>61</v>
      </c>
      <c r="D6" s="48" t="s">
        <v>62</v>
      </c>
      <c r="E6" s="49" t="s">
        <v>63</v>
      </c>
      <c r="F6" s="46" t="s">
        <v>64</v>
      </c>
      <c r="G6" s="50" t="e">
        <f aca="false">ROUND(0*$H$3,0)</f>
        <v>#VALUE!</v>
      </c>
      <c r="H6" s="51" t="e">
        <f aca="false">$C$3+G6</f>
        <v>#VALUE!</v>
      </c>
      <c r="I6" s="52"/>
      <c r="J6" s="53" t="n">
        <f aca="false">IF(I6="Complete",1,IF(I6="Skipped",1,IF(I6="Blocked",0.5,IF(I6="In Progress",0.25,0))))</f>
        <v>0</v>
      </c>
      <c r="K6" s="54"/>
      <c r="L6" s="55"/>
      <c r="M6" s="56"/>
      <c r="N6" s="57" t="str">
        <f aca="false">IF(M6="","",M6-H6)</f>
        <v/>
      </c>
      <c r="O6" s="58" t="str">
        <f aca="false">IF(M6="","",ABS(M6-H6)*24)</f>
        <v/>
      </c>
      <c r="P6" s="46"/>
      <c r="Q6" s="59" t="s">
        <v>65</v>
      </c>
      <c r="R6" s="59" t="s">
        <v>66</v>
      </c>
      <c r="S6" s="59" t="s">
        <v>67</v>
      </c>
    </row>
    <row r="7" customFormat="false" ht="36" hidden="false" customHeight="true" outlineLevel="0" collapsed="false">
      <c r="A7" s="23" t="n">
        <v>2</v>
      </c>
      <c r="B7" s="60" t="s">
        <v>60</v>
      </c>
      <c r="C7" s="23" t="s">
        <v>68</v>
      </c>
      <c r="D7" s="61" t="s">
        <v>69</v>
      </c>
      <c r="E7" s="62" t="s">
        <v>70</v>
      </c>
      <c r="F7" s="23" t="s">
        <v>64</v>
      </c>
      <c r="G7" s="26" t="e">
        <f aca="false">ROUND(0*$H$3,0)</f>
        <v>#VALUE!</v>
      </c>
      <c r="H7" s="25" t="e">
        <f aca="false">$C$3+G7</f>
        <v>#VALUE!</v>
      </c>
      <c r="I7" s="52"/>
      <c r="J7" s="53" t="n">
        <f aca="false">IF(I7="Complete",1,IF(I7="Skipped",1,IF(I7="Blocked",0.5,IF(I7="In Progress",0.25,0))))</f>
        <v>0</v>
      </c>
      <c r="K7" s="54"/>
      <c r="L7" s="55"/>
      <c r="M7" s="56"/>
      <c r="N7" s="57" t="str">
        <f aca="false">IF(M7="","",M7-H7)</f>
        <v/>
      </c>
      <c r="O7" s="58" t="str">
        <f aca="false">IF(M7="","",ABS(M7-H7)*24)</f>
        <v/>
      </c>
      <c r="P7" s="23"/>
      <c r="Q7" s="63" t="s">
        <v>71</v>
      </c>
      <c r="R7" s="63" t="s">
        <v>66</v>
      </c>
      <c r="S7" s="63" t="s">
        <v>72</v>
      </c>
    </row>
    <row r="8" customFormat="false" ht="36" hidden="false" customHeight="true" outlineLevel="0" collapsed="false">
      <c r="A8" s="11" t="n">
        <v>3</v>
      </c>
      <c r="B8" s="64" t="s">
        <v>60</v>
      </c>
      <c r="C8" s="11" t="s">
        <v>73</v>
      </c>
      <c r="D8" s="65" t="s">
        <v>74</v>
      </c>
      <c r="E8" s="66" t="s">
        <v>75</v>
      </c>
      <c r="F8" s="11" t="s">
        <v>64</v>
      </c>
      <c r="G8" s="17" t="e">
        <f aca="false">ROUND(0*$H$3,0)</f>
        <v>#VALUE!</v>
      </c>
      <c r="H8" s="16" t="e">
        <f aca="false">$C$3+G8</f>
        <v>#VALUE!</v>
      </c>
      <c r="I8" s="52"/>
      <c r="J8" s="53" t="n">
        <f aca="false">IF(I8="Complete",1,IF(I8="Skipped",1,IF(I8="Blocked",0.5,IF(I8="In Progress",0.25,0))))</f>
        <v>0</v>
      </c>
      <c r="K8" s="54"/>
      <c r="L8" s="55"/>
      <c r="M8" s="56"/>
      <c r="N8" s="57" t="str">
        <f aca="false">IF(M8="","",M8-H8)</f>
        <v/>
      </c>
      <c r="O8" s="58" t="str">
        <f aca="false">IF(M8="","",ABS(M8-H8)*24)</f>
        <v/>
      </c>
      <c r="P8" s="11"/>
      <c r="Q8" s="67" t="s">
        <v>76</v>
      </c>
      <c r="R8" s="67" t="s">
        <v>66</v>
      </c>
      <c r="S8" s="67" t="s">
        <v>77</v>
      </c>
    </row>
    <row r="9" customFormat="false" ht="36" hidden="false" customHeight="true" outlineLevel="0" collapsed="false">
      <c r="A9" s="23" t="n">
        <v>4</v>
      </c>
      <c r="B9" s="60" t="s">
        <v>60</v>
      </c>
      <c r="C9" s="23" t="s">
        <v>78</v>
      </c>
      <c r="D9" s="61" t="s">
        <v>79</v>
      </c>
      <c r="E9" s="62" t="s">
        <v>80</v>
      </c>
      <c r="F9" s="23" t="s">
        <v>64</v>
      </c>
      <c r="G9" s="26" t="e">
        <f aca="false">ROUND(1*$H$3,0)</f>
        <v>#VALUE!</v>
      </c>
      <c r="H9" s="25" t="e">
        <f aca="false">$C$3+G9</f>
        <v>#VALUE!</v>
      </c>
      <c r="I9" s="52"/>
      <c r="J9" s="53" t="n">
        <f aca="false">IF(I9="Complete",1,IF(I9="Skipped",1,IF(I9="Blocked",0.5,IF(I9="In Progress",0.25,0))))</f>
        <v>0</v>
      </c>
      <c r="K9" s="54"/>
      <c r="L9" s="55"/>
      <c r="M9" s="56"/>
      <c r="N9" s="57" t="str">
        <f aca="false">IF(M9="","",M9-H9)</f>
        <v/>
      </c>
      <c r="O9" s="58" t="str">
        <f aca="false">IF(M9="","",ABS(M9-H9)*24)</f>
        <v/>
      </c>
      <c r="P9" s="23"/>
      <c r="Q9" s="63" t="s">
        <v>81</v>
      </c>
      <c r="R9" s="63" t="s">
        <v>66</v>
      </c>
      <c r="S9" s="63" t="s">
        <v>82</v>
      </c>
    </row>
    <row r="10" customFormat="false" ht="36" hidden="false" customHeight="true" outlineLevel="0" collapsed="false">
      <c r="A10" s="11" t="n">
        <v>5</v>
      </c>
      <c r="B10" s="64" t="s">
        <v>60</v>
      </c>
      <c r="C10" s="11" t="s">
        <v>83</v>
      </c>
      <c r="D10" s="65" t="s">
        <v>84</v>
      </c>
      <c r="E10" s="66" t="s">
        <v>85</v>
      </c>
      <c r="F10" s="11" t="s">
        <v>64</v>
      </c>
      <c r="G10" s="17" t="e">
        <f aca="false">ROUND(1*$H$3,0)</f>
        <v>#VALUE!</v>
      </c>
      <c r="H10" s="16" t="e">
        <f aca="false">$C$3+G10</f>
        <v>#VALUE!</v>
      </c>
      <c r="I10" s="52"/>
      <c r="J10" s="53" t="n">
        <f aca="false">IF(I10="Complete",1,IF(I10="Skipped",1,IF(I10="Blocked",0.5,IF(I10="In Progress",0.25,0))))</f>
        <v>0</v>
      </c>
      <c r="K10" s="54"/>
      <c r="L10" s="55"/>
      <c r="M10" s="56"/>
      <c r="N10" s="57" t="str">
        <f aca="false">IF(M10="","",M10-H10)</f>
        <v/>
      </c>
      <c r="O10" s="58" t="str">
        <f aca="false">IF(M10="","",ABS(M10-H10)*24)</f>
        <v/>
      </c>
      <c r="P10" s="11"/>
      <c r="Q10" s="67" t="s">
        <v>86</v>
      </c>
      <c r="R10" s="67" t="s">
        <v>66</v>
      </c>
      <c r="S10" s="67" t="s">
        <v>87</v>
      </c>
    </row>
    <row r="11" customFormat="false" ht="36" hidden="false" customHeight="true" outlineLevel="0" collapsed="false">
      <c r="A11" s="23" t="n">
        <v>6</v>
      </c>
      <c r="B11" s="60" t="s">
        <v>60</v>
      </c>
      <c r="C11" s="23" t="s">
        <v>88</v>
      </c>
      <c r="D11" s="61" t="s">
        <v>89</v>
      </c>
      <c r="E11" s="62" t="s">
        <v>90</v>
      </c>
      <c r="F11" s="23" t="s">
        <v>64</v>
      </c>
      <c r="G11" s="26" t="e">
        <f aca="false">ROUND(1*$H$3,0)</f>
        <v>#VALUE!</v>
      </c>
      <c r="H11" s="25" t="e">
        <f aca="false">$C$3+G11</f>
        <v>#VALUE!</v>
      </c>
      <c r="I11" s="52"/>
      <c r="J11" s="53" t="n">
        <f aca="false">IF(I11="Complete",1,IF(I11="Skipped",1,IF(I11="Blocked",0.5,IF(I11="In Progress",0.25,0))))</f>
        <v>0</v>
      </c>
      <c r="K11" s="54"/>
      <c r="L11" s="55"/>
      <c r="M11" s="56"/>
      <c r="N11" s="57" t="str">
        <f aca="false">IF(M11="","",M11-H11)</f>
        <v/>
      </c>
      <c r="O11" s="58" t="str">
        <f aca="false">IF(M11="","",ABS(M11-H11)*24)</f>
        <v/>
      </c>
      <c r="P11" s="23"/>
      <c r="Q11" s="63" t="s">
        <v>91</v>
      </c>
      <c r="R11" s="63" t="s">
        <v>66</v>
      </c>
      <c r="S11" s="63" t="s">
        <v>92</v>
      </c>
    </row>
    <row r="12" customFormat="false" ht="36" hidden="false" customHeight="true" outlineLevel="0" collapsed="false">
      <c r="A12" s="11" t="n">
        <v>7</v>
      </c>
      <c r="B12" s="64" t="s">
        <v>60</v>
      </c>
      <c r="C12" s="11" t="s">
        <v>93</v>
      </c>
      <c r="D12" s="65" t="s">
        <v>94</v>
      </c>
      <c r="E12" s="66" t="s">
        <v>95</v>
      </c>
      <c r="F12" s="11" t="s">
        <v>96</v>
      </c>
      <c r="G12" s="17" t="e">
        <f aca="false">ROUND(1*$H$3,0)</f>
        <v>#VALUE!</v>
      </c>
      <c r="H12" s="16" t="e">
        <f aca="false">$C$3+G12</f>
        <v>#VALUE!</v>
      </c>
      <c r="I12" s="52"/>
      <c r="J12" s="53" t="n">
        <f aca="false">IF(I12="Complete",1,IF(I12="Skipped",1,IF(I12="Blocked",0.5,IF(I12="In Progress",0.25,0))))</f>
        <v>0</v>
      </c>
      <c r="K12" s="54"/>
      <c r="L12" s="55"/>
      <c r="M12" s="56"/>
      <c r="N12" s="57" t="str">
        <f aca="false">IF(M12="","",M12-H12)</f>
        <v/>
      </c>
      <c r="O12" s="58" t="str">
        <f aca="false">IF(M12="","",ABS(M12-H12)*24)</f>
        <v/>
      </c>
      <c r="P12" s="11"/>
      <c r="Q12" s="67" t="s">
        <v>97</v>
      </c>
      <c r="R12" s="67" t="s">
        <v>66</v>
      </c>
      <c r="S12" s="67" t="s">
        <v>98</v>
      </c>
    </row>
    <row r="13" customFormat="false" ht="36" hidden="false" customHeight="true" outlineLevel="0" collapsed="false">
      <c r="A13" s="23" t="n">
        <v>8</v>
      </c>
      <c r="B13" s="60" t="s">
        <v>60</v>
      </c>
      <c r="C13" s="23" t="s">
        <v>99</v>
      </c>
      <c r="D13" s="61" t="s">
        <v>100</v>
      </c>
      <c r="E13" s="62" t="s">
        <v>101</v>
      </c>
      <c r="F13" s="23" t="s">
        <v>64</v>
      </c>
      <c r="G13" s="26" t="e">
        <f aca="false">ROUND(1*$H$3,0)</f>
        <v>#VALUE!</v>
      </c>
      <c r="H13" s="25" t="e">
        <f aca="false">$C$3+G13</f>
        <v>#VALUE!</v>
      </c>
      <c r="I13" s="52"/>
      <c r="J13" s="53" t="n">
        <f aca="false">IF(I13="Complete",1,IF(I13="Skipped",1,IF(I13="Blocked",0.5,IF(I13="In Progress",0.25,0))))</f>
        <v>0</v>
      </c>
      <c r="K13" s="54"/>
      <c r="L13" s="55"/>
      <c r="M13" s="56"/>
      <c r="N13" s="57" t="str">
        <f aca="false">IF(M13="","",M13-H13)</f>
        <v/>
      </c>
      <c r="O13" s="58" t="str">
        <f aca="false">IF(M13="","",ABS(M13-H13)*24)</f>
        <v/>
      </c>
      <c r="P13" s="23"/>
      <c r="Q13" s="63" t="s">
        <v>102</v>
      </c>
      <c r="R13" s="63" t="s">
        <v>103</v>
      </c>
      <c r="S13" s="63" t="s">
        <v>104</v>
      </c>
    </row>
    <row r="14" customFormat="false" ht="36" hidden="false" customHeight="true" outlineLevel="0" collapsed="false">
      <c r="A14" s="11" t="n">
        <v>9</v>
      </c>
      <c r="B14" s="64" t="s">
        <v>60</v>
      </c>
      <c r="C14" s="11" t="s">
        <v>105</v>
      </c>
      <c r="D14" s="65" t="s">
        <v>106</v>
      </c>
      <c r="E14" s="66" t="s">
        <v>107</v>
      </c>
      <c r="F14" s="11" t="s">
        <v>64</v>
      </c>
      <c r="G14" s="17" t="e">
        <f aca="false">ROUND(2*$H$3,0)</f>
        <v>#VALUE!</v>
      </c>
      <c r="H14" s="16" t="e">
        <f aca="false">$C$3+G14</f>
        <v>#VALUE!</v>
      </c>
      <c r="I14" s="52"/>
      <c r="J14" s="53" t="n">
        <f aca="false">IF(I14="Complete",1,IF(I14="Skipped",1,IF(I14="Blocked",0.5,IF(I14="In Progress",0.25,0))))</f>
        <v>0</v>
      </c>
      <c r="K14" s="54"/>
      <c r="L14" s="55"/>
      <c r="M14" s="56"/>
      <c r="N14" s="57" t="str">
        <f aca="false">IF(M14="","",M14-H14)</f>
        <v/>
      </c>
      <c r="O14" s="58" t="str">
        <f aca="false">IF(M14="","",ABS(M14-H14)*24)</f>
        <v/>
      </c>
      <c r="P14" s="11"/>
      <c r="Q14" s="67" t="s">
        <v>108</v>
      </c>
      <c r="R14" s="67" t="s">
        <v>109</v>
      </c>
      <c r="S14" s="67" t="s">
        <v>110</v>
      </c>
    </row>
    <row r="15" customFormat="false" ht="36" hidden="false" customHeight="true" outlineLevel="0" collapsed="false">
      <c r="A15" s="23" t="n">
        <v>10</v>
      </c>
      <c r="B15" s="60" t="s">
        <v>60</v>
      </c>
      <c r="C15" s="23" t="s">
        <v>111</v>
      </c>
      <c r="D15" s="61" t="s">
        <v>112</v>
      </c>
      <c r="E15" s="62" t="s">
        <v>113</v>
      </c>
      <c r="F15" s="23" t="s">
        <v>114</v>
      </c>
      <c r="G15" s="26" t="e">
        <f aca="false">ROUND(2*$H$3,0)</f>
        <v>#VALUE!</v>
      </c>
      <c r="H15" s="25" t="e">
        <f aca="false">$C$3+G15</f>
        <v>#VALUE!</v>
      </c>
      <c r="I15" s="52"/>
      <c r="J15" s="53" t="n">
        <f aca="false">IF(I15="Complete",1,IF(I15="Skipped",1,IF(I15="Blocked",0.5,IF(I15="In Progress",0.25,0))))</f>
        <v>0</v>
      </c>
      <c r="K15" s="54"/>
      <c r="L15" s="55"/>
      <c r="M15" s="56"/>
      <c r="N15" s="57" t="str">
        <f aca="false">IF(M15="","",M15-H15)</f>
        <v/>
      </c>
      <c r="O15" s="58" t="str">
        <f aca="false">IF(M15="","",ABS(M15-H15)*24)</f>
        <v/>
      </c>
      <c r="P15" s="23"/>
      <c r="Q15" s="63" t="s">
        <v>115</v>
      </c>
      <c r="R15" s="63" t="s">
        <v>116</v>
      </c>
      <c r="S15" s="63" t="s">
        <v>117</v>
      </c>
    </row>
    <row r="16" customFormat="false" ht="36" hidden="false" customHeight="true" outlineLevel="0" collapsed="false">
      <c r="A16" s="46" t="n">
        <v>11</v>
      </c>
      <c r="B16" s="47" t="s">
        <v>118</v>
      </c>
      <c r="C16" s="46" t="s">
        <v>119</v>
      </c>
      <c r="D16" s="48" t="s">
        <v>120</v>
      </c>
      <c r="E16" s="49" t="s">
        <v>121</v>
      </c>
      <c r="F16" s="46" t="s">
        <v>64</v>
      </c>
      <c r="G16" s="50" t="e">
        <f aca="false">ROUND(3*$H$3,0)</f>
        <v>#VALUE!</v>
      </c>
      <c r="H16" s="51" t="e">
        <f aca="false">$C$3+G16</f>
        <v>#VALUE!</v>
      </c>
      <c r="I16" s="52"/>
      <c r="J16" s="53" t="n">
        <f aca="false">IF(I16="Complete",1,IF(I16="Skipped",1,IF(I16="Blocked",0.5,IF(I16="In Progress",0.25,0))))</f>
        <v>0</v>
      </c>
      <c r="K16" s="54"/>
      <c r="L16" s="55"/>
      <c r="M16" s="56"/>
      <c r="N16" s="57" t="str">
        <f aca="false">IF(M16="","",M16-H16)</f>
        <v/>
      </c>
      <c r="O16" s="58" t="str">
        <f aca="false">IF(M16="","",ABS(M16-H16)*24)</f>
        <v/>
      </c>
      <c r="P16" s="46"/>
      <c r="Q16" s="59" t="s">
        <v>122</v>
      </c>
      <c r="R16" s="59" t="s">
        <v>123</v>
      </c>
      <c r="S16" s="59" t="s">
        <v>124</v>
      </c>
    </row>
    <row r="17" customFormat="false" ht="36" hidden="false" customHeight="true" outlineLevel="0" collapsed="false">
      <c r="A17" s="23" t="n">
        <v>12</v>
      </c>
      <c r="B17" s="60" t="s">
        <v>118</v>
      </c>
      <c r="C17" s="23" t="s">
        <v>125</v>
      </c>
      <c r="D17" s="61" t="s">
        <v>126</v>
      </c>
      <c r="E17" s="62" t="s">
        <v>127</v>
      </c>
      <c r="F17" s="23" t="s">
        <v>64</v>
      </c>
      <c r="G17" s="26" t="e">
        <f aca="false">ROUND(3*$H$3,0)</f>
        <v>#VALUE!</v>
      </c>
      <c r="H17" s="25" t="e">
        <f aca="false">$C$3+G17</f>
        <v>#VALUE!</v>
      </c>
      <c r="I17" s="52"/>
      <c r="J17" s="53" t="n">
        <f aca="false">IF(I17="Complete",1,IF(I17="Skipped",1,IF(I17="Blocked",0.5,IF(I17="In Progress",0.25,0))))</f>
        <v>0</v>
      </c>
      <c r="K17" s="54"/>
      <c r="L17" s="55"/>
      <c r="M17" s="56"/>
      <c r="N17" s="57" t="str">
        <f aca="false">IF(M17="","",M17-H17)</f>
        <v/>
      </c>
      <c r="O17" s="58" t="str">
        <f aca="false">IF(M17="","",ABS(M17-H17)*24)</f>
        <v/>
      </c>
      <c r="P17" s="23"/>
      <c r="Q17" s="63" t="s">
        <v>128</v>
      </c>
      <c r="R17" s="63" t="s">
        <v>129</v>
      </c>
      <c r="S17" s="63" t="s">
        <v>130</v>
      </c>
    </row>
    <row r="18" customFormat="false" ht="36" hidden="false" customHeight="true" outlineLevel="0" collapsed="false">
      <c r="A18" s="11" t="n">
        <v>13</v>
      </c>
      <c r="B18" s="64" t="s">
        <v>118</v>
      </c>
      <c r="C18" s="11" t="s">
        <v>131</v>
      </c>
      <c r="D18" s="65" t="s">
        <v>132</v>
      </c>
      <c r="E18" s="66" t="s">
        <v>133</v>
      </c>
      <c r="F18" s="11" t="s">
        <v>64</v>
      </c>
      <c r="G18" s="17" t="e">
        <f aca="false">ROUND(3*$H$3,0)</f>
        <v>#VALUE!</v>
      </c>
      <c r="H18" s="16" t="e">
        <f aca="false">$C$3+G18</f>
        <v>#VALUE!</v>
      </c>
      <c r="I18" s="52"/>
      <c r="J18" s="53" t="n">
        <f aca="false">IF(I18="Complete",1,IF(I18="Skipped",1,IF(I18="Blocked",0.5,IF(I18="In Progress",0.25,0))))</f>
        <v>0</v>
      </c>
      <c r="K18" s="54"/>
      <c r="L18" s="55"/>
      <c r="M18" s="56"/>
      <c r="N18" s="57" t="str">
        <f aca="false">IF(M18="","",M18-H18)</f>
        <v/>
      </c>
      <c r="O18" s="58" t="str">
        <f aca="false">IF(M18="","",ABS(M18-H18)*24)</f>
        <v/>
      </c>
      <c r="P18" s="11"/>
      <c r="Q18" s="67" t="s">
        <v>134</v>
      </c>
      <c r="R18" s="67" t="s">
        <v>135</v>
      </c>
      <c r="S18" s="67" t="s">
        <v>136</v>
      </c>
    </row>
    <row r="19" customFormat="false" ht="36" hidden="false" customHeight="true" outlineLevel="0" collapsed="false">
      <c r="A19" s="23" t="n">
        <v>14</v>
      </c>
      <c r="B19" s="60" t="s">
        <v>118</v>
      </c>
      <c r="C19" s="23" t="s">
        <v>137</v>
      </c>
      <c r="D19" s="61" t="s">
        <v>138</v>
      </c>
      <c r="E19" s="62" t="s">
        <v>139</v>
      </c>
      <c r="F19" s="23" t="s">
        <v>64</v>
      </c>
      <c r="G19" s="26" t="e">
        <f aca="false">ROUND(3*$H$3,0)</f>
        <v>#VALUE!</v>
      </c>
      <c r="H19" s="25" t="e">
        <f aca="false">$C$3+G19</f>
        <v>#VALUE!</v>
      </c>
      <c r="I19" s="52"/>
      <c r="J19" s="53" t="n">
        <f aca="false">IF(I19="Complete",1,IF(I19="Skipped",1,IF(I19="Blocked",0.5,IF(I19="In Progress",0.25,0))))</f>
        <v>0</v>
      </c>
      <c r="K19" s="54"/>
      <c r="L19" s="55"/>
      <c r="M19" s="56"/>
      <c r="N19" s="57" t="str">
        <f aca="false">IF(M19="","",M19-H19)</f>
        <v/>
      </c>
      <c r="O19" s="58" t="str">
        <f aca="false">IF(M19="","",ABS(M19-H19)*24)</f>
        <v/>
      </c>
      <c r="P19" s="23"/>
      <c r="Q19" s="63" t="s">
        <v>140</v>
      </c>
      <c r="R19" s="63" t="s">
        <v>141</v>
      </c>
      <c r="S19" s="63" t="s">
        <v>142</v>
      </c>
    </row>
    <row r="20" customFormat="false" ht="36" hidden="false" customHeight="true" outlineLevel="0" collapsed="false">
      <c r="A20" s="11" t="n">
        <v>15</v>
      </c>
      <c r="B20" s="64" t="s">
        <v>118</v>
      </c>
      <c r="C20" s="11" t="s">
        <v>143</v>
      </c>
      <c r="D20" s="65" t="s">
        <v>144</v>
      </c>
      <c r="E20" s="66" t="s">
        <v>145</v>
      </c>
      <c r="F20" s="11" t="s">
        <v>64</v>
      </c>
      <c r="G20" s="17" t="e">
        <f aca="false">ROUND(3*$H$3,0)</f>
        <v>#VALUE!</v>
      </c>
      <c r="H20" s="16" t="e">
        <f aca="false">$C$3+G20</f>
        <v>#VALUE!</v>
      </c>
      <c r="I20" s="52"/>
      <c r="J20" s="53" t="n">
        <f aca="false">IF(I20="Complete",1,IF(I20="Skipped",1,IF(I20="Blocked",0.5,IF(I20="In Progress",0.25,0))))</f>
        <v>0</v>
      </c>
      <c r="K20" s="54"/>
      <c r="L20" s="55"/>
      <c r="M20" s="56"/>
      <c r="N20" s="57" t="str">
        <f aca="false">IF(M20="","",M20-H20)</f>
        <v/>
      </c>
      <c r="O20" s="58" t="str">
        <f aca="false">IF(M20="","",ABS(M20-H20)*24)</f>
        <v/>
      </c>
      <c r="P20" s="11"/>
      <c r="Q20" s="67" t="s">
        <v>146</v>
      </c>
      <c r="R20" s="67" t="s">
        <v>147</v>
      </c>
      <c r="S20" s="67" t="s">
        <v>148</v>
      </c>
    </row>
    <row r="21" customFormat="false" ht="36" hidden="false" customHeight="true" outlineLevel="0" collapsed="false">
      <c r="A21" s="23" t="n">
        <v>16</v>
      </c>
      <c r="B21" s="60" t="s">
        <v>118</v>
      </c>
      <c r="C21" s="23" t="s">
        <v>149</v>
      </c>
      <c r="D21" s="61" t="s">
        <v>150</v>
      </c>
      <c r="E21" s="62" t="s">
        <v>151</v>
      </c>
      <c r="F21" s="23" t="s">
        <v>152</v>
      </c>
      <c r="G21" s="26" t="e">
        <f aca="false">ROUND(3*$H$3,0)</f>
        <v>#VALUE!</v>
      </c>
      <c r="H21" s="25" t="e">
        <f aca="false">$C$3+G21</f>
        <v>#VALUE!</v>
      </c>
      <c r="I21" s="52"/>
      <c r="J21" s="53" t="n">
        <f aca="false">IF(I21="Complete",1,IF(I21="Skipped",1,IF(I21="Blocked",0.5,IF(I21="In Progress",0.25,0))))</f>
        <v>0</v>
      </c>
      <c r="K21" s="54"/>
      <c r="L21" s="55"/>
      <c r="M21" s="56"/>
      <c r="N21" s="57" t="str">
        <f aca="false">IF(M21="","",M21-H21)</f>
        <v/>
      </c>
      <c r="O21" s="58" t="str">
        <f aca="false">IF(M21="","",ABS(M21-H21)*24)</f>
        <v/>
      </c>
      <c r="P21" s="23"/>
      <c r="Q21" s="63" t="s">
        <v>153</v>
      </c>
      <c r="R21" s="63" t="s">
        <v>154</v>
      </c>
      <c r="S21" s="63" t="s">
        <v>155</v>
      </c>
    </row>
    <row r="22" customFormat="false" ht="36" hidden="false" customHeight="true" outlineLevel="0" collapsed="false">
      <c r="A22" s="46" t="n">
        <v>17</v>
      </c>
      <c r="B22" s="47" t="s">
        <v>156</v>
      </c>
      <c r="C22" s="46" t="s">
        <v>157</v>
      </c>
      <c r="D22" s="48" t="s">
        <v>158</v>
      </c>
      <c r="E22" s="49" t="s">
        <v>159</v>
      </c>
      <c r="F22" s="46" t="s">
        <v>64</v>
      </c>
      <c r="G22" s="50" t="e">
        <f aca="false">ROUND(4*$H$3,0)</f>
        <v>#VALUE!</v>
      </c>
      <c r="H22" s="51" t="e">
        <f aca="false">$C$3+G22</f>
        <v>#VALUE!</v>
      </c>
      <c r="I22" s="52"/>
      <c r="J22" s="53" t="n">
        <f aca="false">IF(I22="Complete",1,IF(I22="Skipped",1,IF(I22="Blocked",0.5,IF(I22="In Progress",0.25,0))))</f>
        <v>0</v>
      </c>
      <c r="K22" s="54"/>
      <c r="L22" s="55"/>
      <c r="M22" s="56"/>
      <c r="N22" s="57" t="str">
        <f aca="false">IF(M22="","",M22-H22)</f>
        <v/>
      </c>
      <c r="O22" s="58" t="str">
        <f aca="false">IF(M22="","",ABS(M22-H22)*24)</f>
        <v/>
      </c>
      <c r="P22" s="46"/>
      <c r="Q22" s="59" t="s">
        <v>160</v>
      </c>
      <c r="R22" s="59" t="s">
        <v>161</v>
      </c>
      <c r="S22" s="59" t="s">
        <v>162</v>
      </c>
    </row>
    <row r="23" customFormat="false" ht="36" hidden="false" customHeight="true" outlineLevel="0" collapsed="false">
      <c r="A23" s="23" t="n">
        <v>18</v>
      </c>
      <c r="B23" s="60" t="s">
        <v>156</v>
      </c>
      <c r="C23" s="23" t="s">
        <v>163</v>
      </c>
      <c r="D23" s="61" t="s">
        <v>164</v>
      </c>
      <c r="E23" s="62" t="s">
        <v>165</v>
      </c>
      <c r="F23" s="23" t="s">
        <v>64</v>
      </c>
      <c r="G23" s="26" t="e">
        <f aca="false">ROUND(4*$H$3,0)</f>
        <v>#VALUE!</v>
      </c>
      <c r="H23" s="25" t="e">
        <f aca="false">$C$3+G23</f>
        <v>#VALUE!</v>
      </c>
      <c r="I23" s="52"/>
      <c r="J23" s="53" t="n">
        <f aca="false">IF(I23="Complete",1,IF(I23="Skipped",1,IF(I23="Blocked",0.5,IF(I23="In Progress",0.25,0))))</f>
        <v>0</v>
      </c>
      <c r="K23" s="54"/>
      <c r="L23" s="55"/>
      <c r="M23" s="56"/>
      <c r="N23" s="57" t="str">
        <f aca="false">IF(M23="","",M23-H23)</f>
        <v/>
      </c>
      <c r="O23" s="58" t="str">
        <f aca="false">IF(M23="","",ABS(M23-H23)*24)</f>
        <v/>
      </c>
      <c r="P23" s="23"/>
      <c r="Q23" s="63" t="s">
        <v>166</v>
      </c>
      <c r="R23" s="63" t="s">
        <v>167</v>
      </c>
      <c r="S23" s="63"/>
    </row>
    <row r="24" customFormat="false" ht="36" hidden="false" customHeight="true" outlineLevel="0" collapsed="false">
      <c r="A24" s="11" t="n">
        <v>19</v>
      </c>
      <c r="B24" s="64" t="s">
        <v>156</v>
      </c>
      <c r="C24" s="11" t="s">
        <v>168</v>
      </c>
      <c r="D24" s="65" t="s">
        <v>169</v>
      </c>
      <c r="E24" s="66" t="s">
        <v>170</v>
      </c>
      <c r="F24" s="11" t="s">
        <v>64</v>
      </c>
      <c r="G24" s="17" t="e">
        <f aca="false">ROUND(4*$H$3,0)</f>
        <v>#VALUE!</v>
      </c>
      <c r="H24" s="16" t="e">
        <f aca="false">$C$3+G24</f>
        <v>#VALUE!</v>
      </c>
      <c r="I24" s="52"/>
      <c r="J24" s="53" t="n">
        <f aca="false">IF(I24="Complete",1,IF(I24="Skipped",1,IF(I24="Blocked",0.5,IF(I24="In Progress",0.25,0))))</f>
        <v>0</v>
      </c>
      <c r="K24" s="54"/>
      <c r="L24" s="55"/>
      <c r="M24" s="56"/>
      <c r="N24" s="57" t="str">
        <f aca="false">IF(M24="","",M24-H24)</f>
        <v/>
      </c>
      <c r="O24" s="58" t="str">
        <f aca="false">IF(M24="","",ABS(M24-H24)*24)</f>
        <v/>
      </c>
      <c r="P24" s="11"/>
      <c r="Q24" s="67" t="s">
        <v>171</v>
      </c>
      <c r="R24" s="67" t="s">
        <v>172</v>
      </c>
      <c r="S24" s="67" t="s">
        <v>173</v>
      </c>
    </row>
    <row r="25" customFormat="false" ht="36" hidden="false" customHeight="true" outlineLevel="0" collapsed="false">
      <c r="A25" s="23" t="n">
        <v>20</v>
      </c>
      <c r="B25" s="60" t="s">
        <v>156</v>
      </c>
      <c r="C25" s="23" t="s">
        <v>174</v>
      </c>
      <c r="D25" s="61" t="s">
        <v>175</v>
      </c>
      <c r="E25" s="62" t="s">
        <v>176</v>
      </c>
      <c r="F25" s="23" t="s">
        <v>64</v>
      </c>
      <c r="G25" s="26" t="e">
        <f aca="false">ROUND(4*$H$3,0)</f>
        <v>#VALUE!</v>
      </c>
      <c r="H25" s="25" t="e">
        <f aca="false">$C$3+G25</f>
        <v>#VALUE!</v>
      </c>
      <c r="I25" s="52"/>
      <c r="J25" s="53" t="n">
        <f aca="false">IF(I25="Complete",1,IF(I25="Skipped",1,IF(I25="Blocked",0.5,IF(I25="In Progress",0.25,0))))</f>
        <v>0</v>
      </c>
      <c r="K25" s="54"/>
      <c r="L25" s="55"/>
      <c r="M25" s="56"/>
      <c r="N25" s="57" t="str">
        <f aca="false">IF(M25="","",M25-H25)</f>
        <v/>
      </c>
      <c r="O25" s="58" t="str">
        <f aca="false">IF(M25="","",ABS(M25-H25)*24)</f>
        <v/>
      </c>
      <c r="P25" s="23"/>
      <c r="Q25" s="63" t="s">
        <v>177</v>
      </c>
      <c r="R25" s="63" t="s">
        <v>178</v>
      </c>
      <c r="S25" s="63" t="s">
        <v>179</v>
      </c>
    </row>
    <row r="26" customFormat="false" ht="36" hidden="false" customHeight="true" outlineLevel="0" collapsed="false">
      <c r="A26" s="11" t="n">
        <v>21</v>
      </c>
      <c r="B26" s="64" t="s">
        <v>156</v>
      </c>
      <c r="C26" s="11" t="s">
        <v>180</v>
      </c>
      <c r="D26" s="65" t="s">
        <v>181</v>
      </c>
      <c r="E26" s="66" t="s">
        <v>182</v>
      </c>
      <c r="F26" s="11" t="s">
        <v>64</v>
      </c>
      <c r="G26" s="17" t="e">
        <f aca="false">ROUND(4*$H$3,0)</f>
        <v>#VALUE!</v>
      </c>
      <c r="H26" s="16" t="e">
        <f aca="false">$C$3+G26</f>
        <v>#VALUE!</v>
      </c>
      <c r="I26" s="52"/>
      <c r="J26" s="53" t="n">
        <f aca="false">IF(I26="Complete",1,IF(I26="Skipped",1,IF(I26="Blocked",0.5,IF(I26="In Progress",0.25,0))))</f>
        <v>0</v>
      </c>
      <c r="K26" s="54"/>
      <c r="L26" s="55"/>
      <c r="M26" s="56"/>
      <c r="N26" s="57" t="str">
        <f aca="false">IF(M26="","",M26-H26)</f>
        <v/>
      </c>
      <c r="O26" s="58" t="str">
        <f aca="false">IF(M26="","",ABS(M26-H26)*24)</f>
        <v/>
      </c>
      <c r="P26" s="11"/>
      <c r="Q26" s="67" t="s">
        <v>183</v>
      </c>
      <c r="R26" s="67" t="s">
        <v>184</v>
      </c>
      <c r="S26" s="67" t="s">
        <v>185</v>
      </c>
    </row>
    <row r="27" customFormat="false" ht="36" hidden="false" customHeight="true" outlineLevel="0" collapsed="false">
      <c r="A27" s="23" t="n">
        <v>22</v>
      </c>
      <c r="B27" s="60" t="s">
        <v>156</v>
      </c>
      <c r="C27" s="23" t="s">
        <v>186</v>
      </c>
      <c r="D27" s="61" t="s">
        <v>187</v>
      </c>
      <c r="E27" s="62" t="s">
        <v>188</v>
      </c>
      <c r="F27" s="23" t="s">
        <v>64</v>
      </c>
      <c r="G27" s="26" t="e">
        <f aca="false">ROUND(4*$H$3,0)</f>
        <v>#VALUE!</v>
      </c>
      <c r="H27" s="25" t="e">
        <f aca="false">$C$3+G27</f>
        <v>#VALUE!</v>
      </c>
      <c r="I27" s="52"/>
      <c r="J27" s="53" t="n">
        <f aca="false">IF(I27="Complete",1,IF(I27="Skipped",1,IF(I27="Blocked",0.5,IF(I27="In Progress",0.25,0))))</f>
        <v>0</v>
      </c>
      <c r="K27" s="54"/>
      <c r="L27" s="55"/>
      <c r="M27" s="56"/>
      <c r="N27" s="57" t="str">
        <f aca="false">IF(M27="","",M27-H27)</f>
        <v/>
      </c>
      <c r="O27" s="58" t="str">
        <f aca="false">IF(M27="","",ABS(M27-H27)*24)</f>
        <v/>
      </c>
      <c r="P27" s="23"/>
      <c r="Q27" s="63" t="s">
        <v>189</v>
      </c>
      <c r="R27" s="63" t="s">
        <v>190</v>
      </c>
      <c r="S27" s="63" t="s">
        <v>191</v>
      </c>
    </row>
    <row r="28" customFormat="false" ht="36" hidden="false" customHeight="true" outlineLevel="0" collapsed="false">
      <c r="A28" s="11" t="n">
        <v>23</v>
      </c>
      <c r="B28" s="64" t="s">
        <v>156</v>
      </c>
      <c r="C28" s="11" t="s">
        <v>192</v>
      </c>
      <c r="D28" s="65" t="s">
        <v>193</v>
      </c>
      <c r="E28" s="66" t="s">
        <v>194</v>
      </c>
      <c r="F28" s="11" t="s">
        <v>64</v>
      </c>
      <c r="G28" s="17" t="e">
        <f aca="false">ROUND(5*$H$3,0)</f>
        <v>#VALUE!</v>
      </c>
      <c r="H28" s="16" t="e">
        <f aca="false">$C$3+G28</f>
        <v>#VALUE!</v>
      </c>
      <c r="I28" s="52"/>
      <c r="J28" s="53" t="n">
        <f aca="false">IF(I28="Complete",1,IF(I28="Skipped",1,IF(I28="Blocked",0.5,IF(I28="In Progress",0.25,0))))</f>
        <v>0</v>
      </c>
      <c r="K28" s="54"/>
      <c r="L28" s="55"/>
      <c r="M28" s="56"/>
      <c r="N28" s="57" t="str">
        <f aca="false">IF(M28="","",M28-H28)</f>
        <v/>
      </c>
      <c r="O28" s="58" t="str">
        <f aca="false">IF(M28="","",ABS(M28-H28)*24)</f>
        <v/>
      </c>
      <c r="P28" s="11"/>
      <c r="Q28" s="67" t="s">
        <v>195</v>
      </c>
      <c r="R28" s="67" t="s">
        <v>196</v>
      </c>
      <c r="S28" s="67" t="s">
        <v>197</v>
      </c>
    </row>
    <row r="29" customFormat="false" ht="36" hidden="false" customHeight="true" outlineLevel="0" collapsed="false">
      <c r="A29" s="23" t="n">
        <v>24</v>
      </c>
      <c r="B29" s="60" t="s">
        <v>156</v>
      </c>
      <c r="C29" s="23" t="s">
        <v>198</v>
      </c>
      <c r="D29" s="61" t="s">
        <v>199</v>
      </c>
      <c r="E29" s="62" t="s">
        <v>200</v>
      </c>
      <c r="F29" s="23" t="s">
        <v>64</v>
      </c>
      <c r="G29" s="26" t="e">
        <f aca="false">ROUND(5*$H$3,0)</f>
        <v>#VALUE!</v>
      </c>
      <c r="H29" s="25" t="e">
        <f aca="false">$C$3+G29</f>
        <v>#VALUE!</v>
      </c>
      <c r="I29" s="52"/>
      <c r="J29" s="53" t="n">
        <f aca="false">IF(I29="Complete",1,IF(I29="Skipped",1,IF(I29="Blocked",0.5,IF(I29="In Progress",0.25,0))))</f>
        <v>0</v>
      </c>
      <c r="K29" s="54"/>
      <c r="L29" s="55"/>
      <c r="M29" s="56"/>
      <c r="N29" s="57" t="str">
        <f aca="false">IF(M29="","",M29-H29)</f>
        <v/>
      </c>
      <c r="O29" s="58" t="str">
        <f aca="false">IF(M29="","",ABS(M29-H29)*24)</f>
        <v/>
      </c>
      <c r="P29" s="23"/>
      <c r="Q29" s="63" t="s">
        <v>201</v>
      </c>
      <c r="R29" s="63" t="s">
        <v>202</v>
      </c>
      <c r="S29" s="63" t="s">
        <v>203</v>
      </c>
    </row>
    <row r="30" customFormat="false" ht="36" hidden="false" customHeight="true" outlineLevel="0" collapsed="false">
      <c r="A30" s="11" t="n">
        <v>25</v>
      </c>
      <c r="B30" s="64" t="s">
        <v>156</v>
      </c>
      <c r="C30" s="11" t="s">
        <v>204</v>
      </c>
      <c r="D30" s="65" t="s">
        <v>205</v>
      </c>
      <c r="E30" s="66" t="s">
        <v>206</v>
      </c>
      <c r="F30" s="11" t="s">
        <v>64</v>
      </c>
      <c r="G30" s="17" t="e">
        <f aca="false">ROUND(5*$H$3,0)</f>
        <v>#VALUE!</v>
      </c>
      <c r="H30" s="16" t="e">
        <f aca="false">$C$3+G30</f>
        <v>#VALUE!</v>
      </c>
      <c r="I30" s="52"/>
      <c r="J30" s="53" t="n">
        <f aca="false">IF(I30="Complete",1,IF(I30="Skipped",1,IF(I30="Blocked",0.5,IF(I30="In Progress",0.25,0))))</f>
        <v>0</v>
      </c>
      <c r="K30" s="54"/>
      <c r="L30" s="55"/>
      <c r="M30" s="56"/>
      <c r="N30" s="57" t="str">
        <f aca="false">IF(M30="","",M30-H30)</f>
        <v/>
      </c>
      <c r="O30" s="58" t="str">
        <f aca="false">IF(M30="","",ABS(M30-H30)*24)</f>
        <v/>
      </c>
      <c r="P30" s="11"/>
      <c r="Q30" s="67" t="s">
        <v>207</v>
      </c>
      <c r="R30" s="67" t="s">
        <v>208</v>
      </c>
      <c r="S30" s="67" t="s">
        <v>209</v>
      </c>
    </row>
    <row r="31" customFormat="false" ht="36" hidden="false" customHeight="true" outlineLevel="0" collapsed="false">
      <c r="A31" s="46" t="n">
        <v>26</v>
      </c>
      <c r="B31" s="47" t="s">
        <v>210</v>
      </c>
      <c r="C31" s="46" t="s">
        <v>211</v>
      </c>
      <c r="D31" s="48" t="s">
        <v>212</v>
      </c>
      <c r="E31" s="49" t="s">
        <v>213</v>
      </c>
      <c r="F31" s="46" t="s">
        <v>214</v>
      </c>
      <c r="G31" s="50" t="e">
        <f aca="false">ROUND(6*$H$3,0)</f>
        <v>#VALUE!</v>
      </c>
      <c r="H31" s="51" t="e">
        <f aca="false">$C$3+G31</f>
        <v>#VALUE!</v>
      </c>
      <c r="I31" s="52"/>
      <c r="J31" s="53" t="n">
        <f aca="false">IF(I31="Complete",1,IF(I31="Skipped",1,IF(I31="Blocked",0.5,IF(I31="In Progress",0.25,0))))</f>
        <v>0</v>
      </c>
      <c r="K31" s="54"/>
      <c r="L31" s="55"/>
      <c r="M31" s="56"/>
      <c r="N31" s="57" t="str">
        <f aca="false">IF(M31="","",M31-H31)</f>
        <v/>
      </c>
      <c r="O31" s="58" t="str">
        <f aca="false">IF(M31="","",ABS(M31-H31)*24)</f>
        <v/>
      </c>
      <c r="P31" s="46"/>
      <c r="Q31" s="59" t="s">
        <v>215</v>
      </c>
      <c r="R31" s="59" t="s">
        <v>216</v>
      </c>
      <c r="S31" s="59" t="s">
        <v>217</v>
      </c>
    </row>
    <row r="32" customFormat="false" ht="36" hidden="false" customHeight="true" outlineLevel="0" collapsed="false">
      <c r="A32" s="11" t="n">
        <v>27</v>
      </c>
      <c r="B32" s="64" t="s">
        <v>210</v>
      </c>
      <c r="C32" s="11" t="s">
        <v>218</v>
      </c>
      <c r="D32" s="65" t="s">
        <v>219</v>
      </c>
      <c r="E32" s="66" t="s">
        <v>220</v>
      </c>
      <c r="F32" s="11" t="s">
        <v>214</v>
      </c>
      <c r="G32" s="17" t="e">
        <f aca="false">ROUND(6*$H$3,0)</f>
        <v>#VALUE!</v>
      </c>
      <c r="H32" s="16" t="e">
        <f aca="false">$C$3+G32</f>
        <v>#VALUE!</v>
      </c>
      <c r="I32" s="52"/>
      <c r="J32" s="53" t="n">
        <f aca="false">IF(I32="Complete",1,IF(I32="Skipped",1,IF(I32="Blocked",0.5,IF(I32="In Progress",0.25,0))))</f>
        <v>0</v>
      </c>
      <c r="K32" s="54"/>
      <c r="L32" s="55"/>
      <c r="M32" s="56"/>
      <c r="N32" s="57" t="str">
        <f aca="false">IF(M32="","",M32-H32)</f>
        <v/>
      </c>
      <c r="O32" s="58" t="str">
        <f aca="false">IF(M32="","",ABS(M32-H32)*24)</f>
        <v/>
      </c>
      <c r="P32" s="11"/>
      <c r="Q32" s="67" t="s">
        <v>221</v>
      </c>
      <c r="R32" s="67" t="s">
        <v>222</v>
      </c>
      <c r="S32" s="67" t="s">
        <v>223</v>
      </c>
    </row>
    <row r="33" customFormat="false" ht="36" hidden="false" customHeight="true" outlineLevel="0" collapsed="false">
      <c r="A33" s="23" t="n">
        <v>28</v>
      </c>
      <c r="B33" s="60" t="s">
        <v>210</v>
      </c>
      <c r="C33" s="23" t="s">
        <v>224</v>
      </c>
      <c r="D33" s="61" t="s">
        <v>225</v>
      </c>
      <c r="E33" s="62" t="s">
        <v>226</v>
      </c>
      <c r="F33" s="23" t="s">
        <v>64</v>
      </c>
      <c r="G33" s="26" t="e">
        <f aca="false">ROUND(7*$H$3,0)</f>
        <v>#VALUE!</v>
      </c>
      <c r="H33" s="25" t="e">
        <f aca="false">$C$3+G33</f>
        <v>#VALUE!</v>
      </c>
      <c r="I33" s="52"/>
      <c r="J33" s="53" t="n">
        <f aca="false">IF(I33="Complete",1,IF(I33="Skipped",1,IF(I33="Blocked",0.5,IF(I33="In Progress",0.25,0))))</f>
        <v>0</v>
      </c>
      <c r="K33" s="54"/>
      <c r="L33" s="55"/>
      <c r="M33" s="56"/>
      <c r="N33" s="57" t="str">
        <f aca="false">IF(M33="","",M33-H33)</f>
        <v/>
      </c>
      <c r="O33" s="58" t="str">
        <f aca="false">IF(M33="","",ABS(M33-H33)*24)</f>
        <v/>
      </c>
      <c r="P33" s="23"/>
      <c r="Q33" s="63" t="s">
        <v>227</v>
      </c>
      <c r="R33" s="63" t="s">
        <v>228</v>
      </c>
      <c r="S33" s="63" t="s">
        <v>229</v>
      </c>
    </row>
    <row r="34" customFormat="false" ht="36" hidden="false" customHeight="true" outlineLevel="0" collapsed="false">
      <c r="A34" s="11" t="n">
        <v>29</v>
      </c>
      <c r="B34" s="64" t="s">
        <v>210</v>
      </c>
      <c r="C34" s="11" t="s">
        <v>230</v>
      </c>
      <c r="D34" s="65" t="s">
        <v>231</v>
      </c>
      <c r="E34" s="66" t="s">
        <v>232</v>
      </c>
      <c r="F34" s="11" t="s">
        <v>214</v>
      </c>
      <c r="G34" s="17" t="e">
        <f aca="false">ROUND(8*$H$3,0)</f>
        <v>#VALUE!</v>
      </c>
      <c r="H34" s="16" t="e">
        <f aca="false">$C$3+G34</f>
        <v>#VALUE!</v>
      </c>
      <c r="I34" s="52"/>
      <c r="J34" s="53" t="n">
        <f aca="false">IF(I34="Complete",1,IF(I34="Skipped",1,IF(I34="Blocked",0.5,IF(I34="In Progress",0.25,0))))</f>
        <v>0</v>
      </c>
      <c r="K34" s="54"/>
      <c r="L34" s="55"/>
      <c r="M34" s="56"/>
      <c r="N34" s="57" t="str">
        <f aca="false">IF(M34="","",M34-H34)</f>
        <v/>
      </c>
      <c r="O34" s="58" t="str">
        <f aca="false">IF(M34="","",ABS(M34-H34)*24)</f>
        <v/>
      </c>
      <c r="P34" s="11"/>
      <c r="Q34" s="67" t="s">
        <v>233</v>
      </c>
      <c r="R34" s="67" t="s">
        <v>66</v>
      </c>
      <c r="S34" s="67" t="s">
        <v>234</v>
      </c>
    </row>
    <row r="35" customFormat="false" ht="36" hidden="false" customHeight="true" outlineLevel="0" collapsed="false">
      <c r="A35" s="23" t="n">
        <v>30</v>
      </c>
      <c r="B35" s="60" t="s">
        <v>210</v>
      </c>
      <c r="C35" s="23" t="s">
        <v>235</v>
      </c>
      <c r="D35" s="61" t="s">
        <v>236</v>
      </c>
      <c r="E35" s="62" t="s">
        <v>237</v>
      </c>
      <c r="F35" s="23" t="s">
        <v>114</v>
      </c>
      <c r="G35" s="26" t="e">
        <f aca="false">ROUND(8*$H$3,0)</f>
        <v>#VALUE!</v>
      </c>
      <c r="H35" s="25" t="e">
        <f aca="false">$C$3+G35</f>
        <v>#VALUE!</v>
      </c>
      <c r="I35" s="52"/>
      <c r="J35" s="53" t="n">
        <f aca="false">IF(I35="Complete",1,IF(I35="Skipped",1,IF(I35="Blocked",0.5,IF(I35="In Progress",0.25,0))))</f>
        <v>0</v>
      </c>
      <c r="K35" s="54"/>
      <c r="L35" s="55"/>
      <c r="M35" s="56"/>
      <c r="N35" s="57" t="str">
        <f aca="false">IF(M35="","",M35-H35)</f>
        <v/>
      </c>
      <c r="O35" s="58" t="str">
        <f aca="false">IF(M35="","",ABS(M35-H35)*24)</f>
        <v/>
      </c>
      <c r="P35" s="23"/>
      <c r="Q35" s="63" t="s">
        <v>238</v>
      </c>
      <c r="R35" s="63" t="s">
        <v>239</v>
      </c>
      <c r="S35" s="63"/>
    </row>
    <row r="36" customFormat="false" ht="36" hidden="false" customHeight="true" outlineLevel="0" collapsed="false">
      <c r="A36" s="46" t="n">
        <v>31</v>
      </c>
      <c r="B36" s="47" t="s">
        <v>240</v>
      </c>
      <c r="C36" s="46" t="s">
        <v>241</v>
      </c>
      <c r="D36" s="48" t="s">
        <v>242</v>
      </c>
      <c r="E36" s="49" t="s">
        <v>243</v>
      </c>
      <c r="F36" s="46" t="s">
        <v>64</v>
      </c>
      <c r="G36" s="50" t="e">
        <f aca="false">ROUND(9*$H$3,0)</f>
        <v>#VALUE!</v>
      </c>
      <c r="H36" s="51" t="e">
        <f aca="false">$C$3+G36</f>
        <v>#VALUE!</v>
      </c>
      <c r="I36" s="52"/>
      <c r="J36" s="53" t="n">
        <f aca="false">IF(I36="Complete",1,IF(I36="Skipped",1,IF(I36="Blocked",0.5,IF(I36="In Progress",0.25,0))))</f>
        <v>0</v>
      </c>
      <c r="K36" s="54"/>
      <c r="L36" s="55"/>
      <c r="M36" s="56"/>
      <c r="N36" s="57" t="str">
        <f aca="false">IF(M36="","",M36-H36)</f>
        <v/>
      </c>
      <c r="O36" s="58" t="str">
        <f aca="false">IF(M36="","",ABS(M36-H36)*24)</f>
        <v/>
      </c>
      <c r="P36" s="46"/>
      <c r="Q36" s="59" t="s">
        <v>244</v>
      </c>
      <c r="R36" s="59" t="s">
        <v>245</v>
      </c>
      <c r="S36" s="59" t="s">
        <v>246</v>
      </c>
    </row>
    <row r="37" customFormat="false" ht="36" hidden="false" customHeight="true" outlineLevel="0" collapsed="false">
      <c r="A37" s="23" t="n">
        <v>32</v>
      </c>
      <c r="B37" s="60" t="s">
        <v>240</v>
      </c>
      <c r="C37" s="23" t="s">
        <v>247</v>
      </c>
      <c r="D37" s="61" t="s">
        <v>248</v>
      </c>
      <c r="E37" s="62" t="s">
        <v>249</v>
      </c>
      <c r="F37" s="23" t="s">
        <v>114</v>
      </c>
      <c r="G37" s="26" t="e">
        <f aca="false">ROUND(10*$H$3,0)</f>
        <v>#VALUE!</v>
      </c>
      <c r="H37" s="25" t="e">
        <f aca="false">$C$3+G37</f>
        <v>#VALUE!</v>
      </c>
      <c r="I37" s="52"/>
      <c r="J37" s="53" t="n">
        <f aca="false">IF(I37="Complete",1,IF(I37="Skipped",1,IF(I37="Blocked",0.5,IF(I37="In Progress",0.25,0))))</f>
        <v>0</v>
      </c>
      <c r="K37" s="54"/>
      <c r="L37" s="55"/>
      <c r="M37" s="56"/>
      <c r="N37" s="57" t="str">
        <f aca="false">IF(M37="","",M37-H37)</f>
        <v/>
      </c>
      <c r="O37" s="58" t="str">
        <f aca="false">IF(M37="","",ABS(M37-H37)*24)</f>
        <v/>
      </c>
      <c r="P37" s="23"/>
      <c r="Q37" s="63" t="s">
        <v>250</v>
      </c>
      <c r="R37" s="63" t="s">
        <v>251</v>
      </c>
      <c r="S37" s="63"/>
    </row>
    <row r="38" customFormat="false" ht="36" hidden="false" customHeight="true" outlineLevel="0" collapsed="false">
      <c r="A38" s="11" t="n">
        <v>33</v>
      </c>
      <c r="B38" s="64" t="s">
        <v>240</v>
      </c>
      <c r="C38" s="11" t="s">
        <v>252</v>
      </c>
      <c r="D38" s="65" t="s">
        <v>253</v>
      </c>
      <c r="E38" s="66" t="s">
        <v>254</v>
      </c>
      <c r="F38" s="11" t="s">
        <v>152</v>
      </c>
      <c r="G38" s="17" t="e">
        <f aca="false">ROUND(10*$H$3,0)</f>
        <v>#VALUE!</v>
      </c>
      <c r="H38" s="16" t="e">
        <f aca="false">$C$3+G38</f>
        <v>#VALUE!</v>
      </c>
      <c r="I38" s="52"/>
      <c r="J38" s="53" t="n">
        <f aca="false">IF(I38="Complete",1,IF(I38="Skipped",1,IF(I38="Blocked",0.5,IF(I38="In Progress",0.25,0))))</f>
        <v>0</v>
      </c>
      <c r="K38" s="54"/>
      <c r="L38" s="55"/>
      <c r="M38" s="56"/>
      <c r="N38" s="57" t="str">
        <f aca="false">IF(M38="","",M38-H38)</f>
        <v/>
      </c>
      <c r="O38" s="58" t="str">
        <f aca="false">IF(M38="","",ABS(M38-H38)*24)</f>
        <v/>
      </c>
      <c r="P38" s="11"/>
      <c r="Q38" s="67" t="s">
        <v>255</v>
      </c>
      <c r="R38" s="67" t="s">
        <v>256</v>
      </c>
      <c r="S38" s="67" t="s">
        <v>257</v>
      </c>
    </row>
    <row r="39" customFormat="false" ht="36" hidden="false" customHeight="true" outlineLevel="0" collapsed="false">
      <c r="A39" s="23" t="n">
        <v>34</v>
      </c>
      <c r="B39" s="60" t="s">
        <v>240</v>
      </c>
      <c r="C39" s="23" t="s">
        <v>258</v>
      </c>
      <c r="D39" s="61" t="s">
        <v>259</v>
      </c>
      <c r="E39" s="62" t="s">
        <v>260</v>
      </c>
      <c r="F39" s="23" t="s">
        <v>64</v>
      </c>
      <c r="G39" s="26" t="e">
        <f aca="false">ROUND(10*$H$3,0)</f>
        <v>#VALUE!</v>
      </c>
      <c r="H39" s="25" t="e">
        <f aca="false">$C$3+G39</f>
        <v>#VALUE!</v>
      </c>
      <c r="I39" s="52"/>
      <c r="J39" s="53" t="n">
        <f aca="false">IF(I39="Complete",1,IF(I39="Skipped",1,IF(I39="Blocked",0.5,IF(I39="In Progress",0.25,0))))</f>
        <v>0</v>
      </c>
      <c r="K39" s="54"/>
      <c r="L39" s="55"/>
      <c r="M39" s="56"/>
      <c r="N39" s="57" t="str">
        <f aca="false">IF(M39="","",M39-H39)</f>
        <v/>
      </c>
      <c r="O39" s="58" t="str">
        <f aca="false">IF(M39="","",ABS(M39-H39)*24)</f>
        <v/>
      </c>
      <c r="P39" s="23"/>
      <c r="Q39" s="63" t="s">
        <v>261</v>
      </c>
      <c r="R39" s="63" t="s">
        <v>262</v>
      </c>
      <c r="S39" s="63"/>
    </row>
    <row r="40" customFormat="false" ht="36" hidden="false" customHeight="true" outlineLevel="0" collapsed="false">
      <c r="A40" s="46" t="n">
        <v>35</v>
      </c>
      <c r="B40" s="47" t="s">
        <v>263</v>
      </c>
      <c r="C40" s="46" t="s">
        <v>264</v>
      </c>
      <c r="D40" s="48" t="s">
        <v>265</v>
      </c>
      <c r="E40" s="49" t="s">
        <v>266</v>
      </c>
      <c r="F40" s="46" t="s">
        <v>64</v>
      </c>
      <c r="G40" s="50" t="e">
        <f aca="false">ROUND(10*$H$3,0)</f>
        <v>#VALUE!</v>
      </c>
      <c r="H40" s="51" t="e">
        <f aca="false">$C$3+G40</f>
        <v>#VALUE!</v>
      </c>
      <c r="I40" s="52"/>
      <c r="J40" s="53" t="n">
        <f aca="false">IF(I40="Complete",1,IF(I40="Skipped",1,IF(I40="Blocked",0.5,IF(I40="In Progress",0.25,0))))</f>
        <v>0</v>
      </c>
      <c r="K40" s="54"/>
      <c r="L40" s="55"/>
      <c r="M40" s="56"/>
      <c r="N40" s="57" t="str">
        <f aca="false">IF(M40="","",M40-H40)</f>
        <v/>
      </c>
      <c r="O40" s="58" t="str">
        <f aca="false">IF(M40="","",ABS(M40-H40)*24)</f>
        <v/>
      </c>
      <c r="P40" s="46"/>
      <c r="Q40" s="59" t="s">
        <v>267</v>
      </c>
      <c r="R40" s="59" t="s">
        <v>268</v>
      </c>
      <c r="S40" s="59" t="s">
        <v>269</v>
      </c>
    </row>
    <row r="41" customFormat="false" ht="36" hidden="false" customHeight="true" outlineLevel="0" collapsed="false">
      <c r="A41" s="46" t="n">
        <v>36</v>
      </c>
      <c r="B41" s="47" t="s">
        <v>270</v>
      </c>
      <c r="C41" s="46" t="s">
        <v>271</v>
      </c>
      <c r="D41" s="48" t="s">
        <v>272</v>
      </c>
      <c r="E41" s="49" t="s">
        <v>273</v>
      </c>
      <c r="F41" s="46" t="s">
        <v>214</v>
      </c>
      <c r="G41" s="50" t="e">
        <f aca="false">ROUND(11*$H$3,0)</f>
        <v>#VALUE!</v>
      </c>
      <c r="H41" s="51" t="e">
        <f aca="false">$C$3+G41</f>
        <v>#VALUE!</v>
      </c>
      <c r="I41" s="52"/>
      <c r="J41" s="53" t="n">
        <f aca="false">IF(I41="Complete",1,IF(I41="Skipped",1,IF(I41="Blocked",0.5,IF(I41="In Progress",0.25,0))))</f>
        <v>0</v>
      </c>
      <c r="K41" s="54"/>
      <c r="L41" s="55"/>
      <c r="M41" s="56"/>
      <c r="N41" s="57" t="str">
        <f aca="false">IF(M41="","",M41-H41)</f>
        <v/>
      </c>
      <c r="O41" s="58" t="str">
        <f aca="false">IF(M41="","",ABS(M41-H41)*24)</f>
        <v/>
      </c>
      <c r="P41" s="46"/>
      <c r="Q41" s="59" t="s">
        <v>274</v>
      </c>
      <c r="R41" s="59" t="s">
        <v>275</v>
      </c>
      <c r="S41" s="59" t="s">
        <v>276</v>
      </c>
    </row>
    <row r="42" customFormat="false" ht="36" hidden="false" customHeight="true" outlineLevel="0" collapsed="false">
      <c r="A42" s="11" t="n">
        <v>37</v>
      </c>
      <c r="B42" s="64" t="s">
        <v>270</v>
      </c>
      <c r="C42" s="11" t="s">
        <v>277</v>
      </c>
      <c r="D42" s="65" t="s">
        <v>278</v>
      </c>
      <c r="E42" s="66" t="s">
        <v>279</v>
      </c>
      <c r="F42" s="11" t="s">
        <v>64</v>
      </c>
      <c r="G42" s="17" t="e">
        <f aca="false">ROUND(11*$H$3,0)</f>
        <v>#VALUE!</v>
      </c>
      <c r="H42" s="16" t="e">
        <f aca="false">$C$3+G42</f>
        <v>#VALUE!</v>
      </c>
      <c r="I42" s="52"/>
      <c r="J42" s="53" t="n">
        <f aca="false">IF(I42="Complete",1,IF(I42="Skipped",1,IF(I42="Blocked",0.5,IF(I42="In Progress",0.25,0))))</f>
        <v>0</v>
      </c>
      <c r="K42" s="54"/>
      <c r="L42" s="55"/>
      <c r="M42" s="56"/>
      <c r="N42" s="57" t="str">
        <f aca="false">IF(M42="","",M42-H42)</f>
        <v/>
      </c>
      <c r="O42" s="58" t="str">
        <f aca="false">IF(M42="","",ABS(M42-H42)*24)</f>
        <v/>
      </c>
      <c r="P42" s="11"/>
      <c r="Q42" s="67" t="s">
        <v>280</v>
      </c>
      <c r="R42" s="67" t="s">
        <v>281</v>
      </c>
      <c r="S42" s="67" t="s">
        <v>282</v>
      </c>
    </row>
    <row r="43" customFormat="false" ht="36" hidden="false" customHeight="true" outlineLevel="0" collapsed="false">
      <c r="A43" s="23" t="n">
        <v>38</v>
      </c>
      <c r="B43" s="60" t="s">
        <v>270</v>
      </c>
      <c r="C43" s="23" t="s">
        <v>283</v>
      </c>
      <c r="D43" s="61" t="s">
        <v>284</v>
      </c>
      <c r="E43" s="62" t="s">
        <v>285</v>
      </c>
      <c r="F43" s="23" t="s">
        <v>114</v>
      </c>
      <c r="G43" s="26" t="e">
        <f aca="false">ROUND(11*$H$3,0)</f>
        <v>#VALUE!</v>
      </c>
      <c r="H43" s="25" t="e">
        <f aca="false">$C$3+G43</f>
        <v>#VALUE!</v>
      </c>
      <c r="I43" s="52"/>
      <c r="J43" s="53" t="n">
        <f aca="false">IF(I43="Complete",1,IF(I43="Skipped",1,IF(I43="Blocked",0.5,IF(I43="In Progress",0.25,0))))</f>
        <v>0</v>
      </c>
      <c r="K43" s="54"/>
      <c r="L43" s="55"/>
      <c r="M43" s="56"/>
      <c r="N43" s="57" t="str">
        <f aca="false">IF(M43="","",M43-H43)</f>
        <v/>
      </c>
      <c r="O43" s="58" t="str">
        <f aca="false">IF(M43="","",ABS(M43-H43)*24)</f>
        <v/>
      </c>
      <c r="P43" s="23"/>
      <c r="Q43" s="63" t="s">
        <v>286</v>
      </c>
      <c r="R43" s="63" t="s">
        <v>287</v>
      </c>
      <c r="S43" s="63"/>
    </row>
    <row r="44" customFormat="false" ht="36" hidden="false" customHeight="true" outlineLevel="0" collapsed="false">
      <c r="A44" s="46" t="n">
        <v>39</v>
      </c>
      <c r="B44" s="47" t="s">
        <v>288</v>
      </c>
      <c r="C44" s="46" t="s">
        <v>289</v>
      </c>
      <c r="D44" s="48" t="s">
        <v>290</v>
      </c>
      <c r="E44" s="49" t="s">
        <v>291</v>
      </c>
      <c r="F44" s="46" t="s">
        <v>64</v>
      </c>
      <c r="G44" s="50" t="e">
        <f aca="false">ROUND(12*$H$3,0)</f>
        <v>#VALUE!</v>
      </c>
      <c r="H44" s="51" t="e">
        <f aca="false">$C$3+G44</f>
        <v>#VALUE!</v>
      </c>
      <c r="I44" s="52"/>
      <c r="J44" s="53" t="n">
        <f aca="false">IF(I44="Complete",1,IF(I44="Skipped",1,IF(I44="Blocked",0.5,IF(I44="In Progress",0.25,0))))</f>
        <v>0</v>
      </c>
      <c r="K44" s="54"/>
      <c r="L44" s="55"/>
      <c r="M44" s="56"/>
      <c r="N44" s="57" t="str">
        <f aca="false">IF(M44="","",M44-H44)</f>
        <v/>
      </c>
      <c r="O44" s="58" t="str">
        <f aca="false">IF(M44="","",ABS(M44-H44)*24)</f>
        <v/>
      </c>
      <c r="P44" s="46"/>
      <c r="Q44" s="59" t="s">
        <v>292</v>
      </c>
      <c r="R44" s="59" t="s">
        <v>293</v>
      </c>
      <c r="S44" s="59" t="s">
        <v>294</v>
      </c>
    </row>
    <row r="45" customFormat="false" ht="36" hidden="false" customHeight="true" outlineLevel="0" collapsed="false">
      <c r="A45" s="23" t="n">
        <v>40</v>
      </c>
      <c r="B45" s="60" t="s">
        <v>288</v>
      </c>
      <c r="C45" s="23" t="s">
        <v>295</v>
      </c>
      <c r="D45" s="61" t="s">
        <v>296</v>
      </c>
      <c r="E45" s="62" t="s">
        <v>297</v>
      </c>
      <c r="F45" s="23" t="s">
        <v>64</v>
      </c>
      <c r="G45" s="26" t="e">
        <f aca="false">ROUND(12*$H$3,0)</f>
        <v>#VALUE!</v>
      </c>
      <c r="H45" s="25" t="e">
        <f aca="false">$C$3+G45</f>
        <v>#VALUE!</v>
      </c>
      <c r="I45" s="52"/>
      <c r="J45" s="53" t="n">
        <f aca="false">IF(I45="Complete",1,IF(I45="Skipped",1,IF(I45="Blocked",0.5,IF(I45="In Progress",0.25,0))))</f>
        <v>0</v>
      </c>
      <c r="K45" s="54"/>
      <c r="L45" s="55"/>
      <c r="M45" s="56"/>
      <c r="N45" s="57" t="str">
        <f aca="false">IF(M45="","",M45-H45)</f>
        <v/>
      </c>
      <c r="O45" s="58" t="str">
        <f aca="false">IF(M45="","",ABS(M45-H45)*24)</f>
        <v/>
      </c>
      <c r="P45" s="23"/>
      <c r="Q45" s="63" t="s">
        <v>298</v>
      </c>
      <c r="R45" s="63" t="s">
        <v>299</v>
      </c>
      <c r="S45" s="63" t="s">
        <v>300</v>
      </c>
    </row>
    <row r="46" customFormat="false" ht="36" hidden="false" customHeight="true" outlineLevel="0" collapsed="false">
      <c r="A46" s="11" t="n">
        <v>41</v>
      </c>
      <c r="B46" s="64" t="s">
        <v>288</v>
      </c>
      <c r="C46" s="11" t="s">
        <v>301</v>
      </c>
      <c r="D46" s="65" t="s">
        <v>302</v>
      </c>
      <c r="E46" s="66" t="s">
        <v>303</v>
      </c>
      <c r="F46" s="11" t="s">
        <v>114</v>
      </c>
      <c r="G46" s="17" t="e">
        <f aca="false">ROUND(12*$H$3,0)</f>
        <v>#VALUE!</v>
      </c>
      <c r="H46" s="16" t="e">
        <f aca="false">$C$3+G46</f>
        <v>#VALUE!</v>
      </c>
      <c r="I46" s="52"/>
      <c r="J46" s="53" t="n">
        <f aca="false">IF(I46="Complete",1,IF(I46="Skipped",1,IF(I46="Blocked",0.5,IF(I46="In Progress",0.25,0))))</f>
        <v>0</v>
      </c>
      <c r="K46" s="54"/>
      <c r="L46" s="55"/>
      <c r="M46" s="56"/>
      <c r="N46" s="57" t="str">
        <f aca="false">IF(M46="","",M46-H46)</f>
        <v/>
      </c>
      <c r="O46" s="58" t="str">
        <f aca="false">IF(M46="","",ABS(M46-H46)*24)</f>
        <v/>
      </c>
      <c r="P46" s="11"/>
      <c r="Q46" s="67" t="s">
        <v>304</v>
      </c>
      <c r="R46" s="67" t="s">
        <v>305</v>
      </c>
      <c r="S46" s="67" t="s">
        <v>306</v>
      </c>
    </row>
    <row r="47" customFormat="false" ht="36" hidden="false" customHeight="true" outlineLevel="0" collapsed="false">
      <c r="A47" s="23" t="n">
        <v>42</v>
      </c>
      <c r="B47" s="60" t="s">
        <v>288</v>
      </c>
      <c r="C47" s="23" t="s">
        <v>307</v>
      </c>
      <c r="D47" s="61" t="s">
        <v>308</v>
      </c>
      <c r="E47" s="62" t="s">
        <v>309</v>
      </c>
      <c r="F47" s="23" t="s">
        <v>64</v>
      </c>
      <c r="G47" s="26" t="e">
        <f aca="false">ROUND(13*$H$3,0)</f>
        <v>#VALUE!</v>
      </c>
      <c r="H47" s="25" t="e">
        <f aca="false">$C$3+G47</f>
        <v>#VALUE!</v>
      </c>
      <c r="I47" s="52"/>
      <c r="J47" s="53" t="n">
        <f aca="false">IF(I47="Complete",1,IF(I47="Skipped",1,IF(I47="Blocked",0.5,IF(I47="In Progress",0.25,0))))</f>
        <v>0</v>
      </c>
      <c r="K47" s="54"/>
      <c r="L47" s="55"/>
      <c r="M47" s="56"/>
      <c r="N47" s="57" t="str">
        <f aca="false">IF(M47="","",M47-H47)</f>
        <v/>
      </c>
      <c r="O47" s="58" t="str">
        <f aca="false">IF(M47="","",ABS(M47-H47)*24)</f>
        <v/>
      </c>
      <c r="P47" s="23"/>
      <c r="Q47" s="63" t="s">
        <v>310</v>
      </c>
      <c r="R47" s="63" t="s">
        <v>311</v>
      </c>
      <c r="S47" s="63" t="s">
        <v>312</v>
      </c>
    </row>
    <row r="48" customFormat="false" ht="36" hidden="false" customHeight="true" outlineLevel="0" collapsed="false">
      <c r="A48" s="11" t="n">
        <v>43</v>
      </c>
      <c r="B48" s="64" t="s">
        <v>288</v>
      </c>
      <c r="C48" s="11" t="s">
        <v>313</v>
      </c>
      <c r="D48" s="65" t="s">
        <v>314</v>
      </c>
      <c r="E48" s="66" t="s">
        <v>315</v>
      </c>
      <c r="F48" s="11" t="s">
        <v>214</v>
      </c>
      <c r="G48" s="17" t="e">
        <f aca="false">ROUND(13*$H$3,0)</f>
        <v>#VALUE!</v>
      </c>
      <c r="H48" s="16" t="e">
        <f aca="false">$C$3+G48</f>
        <v>#VALUE!</v>
      </c>
      <c r="I48" s="52"/>
      <c r="J48" s="53" t="n">
        <f aca="false">IF(I48="Complete",1,IF(I48="Skipped",1,IF(I48="Blocked",0.5,IF(I48="In Progress",0.25,0))))</f>
        <v>0</v>
      </c>
      <c r="K48" s="54"/>
      <c r="L48" s="55"/>
      <c r="M48" s="56"/>
      <c r="N48" s="57" t="str">
        <f aca="false">IF(M48="","",M48-H48)</f>
        <v/>
      </c>
      <c r="O48" s="58" t="str">
        <f aca="false">IF(M48="","",ABS(M48-H48)*24)</f>
        <v/>
      </c>
      <c r="P48" s="11"/>
      <c r="Q48" s="67" t="s">
        <v>316</v>
      </c>
      <c r="R48" s="67" t="s">
        <v>317</v>
      </c>
      <c r="S48" s="67" t="s">
        <v>318</v>
      </c>
    </row>
    <row r="49" customFormat="false" ht="36" hidden="false" customHeight="true" outlineLevel="0" collapsed="false">
      <c r="A49" s="23" t="n">
        <v>44</v>
      </c>
      <c r="B49" s="60" t="s">
        <v>288</v>
      </c>
      <c r="C49" s="23" t="s">
        <v>319</v>
      </c>
      <c r="D49" s="61" t="s">
        <v>320</v>
      </c>
      <c r="E49" s="62" t="s">
        <v>321</v>
      </c>
      <c r="F49" s="23" t="s">
        <v>64</v>
      </c>
      <c r="G49" s="26" t="e">
        <f aca="false">ROUND(14*$H$3,0)</f>
        <v>#VALUE!</v>
      </c>
      <c r="H49" s="25" t="e">
        <f aca="false">$C$3+G49</f>
        <v>#VALUE!</v>
      </c>
      <c r="I49" s="52"/>
      <c r="J49" s="53" t="n">
        <f aca="false">IF(I49="Complete",1,IF(I49="Skipped",1,IF(I49="Blocked",0.5,IF(I49="In Progress",0.25,0))))</f>
        <v>0</v>
      </c>
      <c r="K49" s="54"/>
      <c r="L49" s="55"/>
      <c r="M49" s="56"/>
      <c r="N49" s="57" t="str">
        <f aca="false">IF(M49="","",M49-H49)</f>
        <v/>
      </c>
      <c r="O49" s="58" t="str">
        <f aca="false">IF(M49="","",ABS(M49-H49)*24)</f>
        <v/>
      </c>
      <c r="P49" s="23"/>
      <c r="Q49" s="63" t="s">
        <v>322</v>
      </c>
      <c r="R49" s="63" t="s">
        <v>323</v>
      </c>
      <c r="S49" s="63" t="s">
        <v>324</v>
      </c>
    </row>
    <row r="50" customFormat="false" ht="36" hidden="false" customHeight="true" outlineLevel="0" collapsed="false">
      <c r="A50" s="11" t="n">
        <v>45</v>
      </c>
      <c r="B50" s="64" t="s">
        <v>288</v>
      </c>
      <c r="C50" s="11" t="s">
        <v>325</v>
      </c>
      <c r="D50" s="65" t="s">
        <v>326</v>
      </c>
      <c r="E50" s="66" t="s">
        <v>327</v>
      </c>
      <c r="F50" s="11" t="s">
        <v>64</v>
      </c>
      <c r="G50" s="17" t="e">
        <f aca="false">ROUND(14*$H$3,0)</f>
        <v>#VALUE!</v>
      </c>
      <c r="H50" s="16" t="e">
        <f aca="false">$C$3+G50</f>
        <v>#VALUE!</v>
      </c>
      <c r="I50" s="52"/>
      <c r="J50" s="53" t="n">
        <f aca="false">IF(I50="Complete",1,IF(I50="Skipped",1,IF(I50="Blocked",0.5,IF(I50="In Progress",0.25,0))))</f>
        <v>0</v>
      </c>
      <c r="K50" s="54"/>
      <c r="L50" s="55"/>
      <c r="M50" s="56"/>
      <c r="N50" s="57" t="str">
        <f aca="false">IF(M50="","",M50-H50)</f>
        <v/>
      </c>
      <c r="O50" s="58" t="str">
        <f aca="false">IF(M50="","",ABS(M50-H50)*24)</f>
        <v/>
      </c>
      <c r="P50" s="11"/>
      <c r="Q50" s="67" t="s">
        <v>328</v>
      </c>
      <c r="R50" s="67" t="s">
        <v>66</v>
      </c>
      <c r="S50" s="67" t="s">
        <v>329</v>
      </c>
    </row>
    <row r="51" customFormat="false" ht="36" hidden="false" customHeight="true" outlineLevel="0" collapsed="false">
      <c r="A51" s="23" t="n">
        <v>46</v>
      </c>
      <c r="B51" s="60" t="s">
        <v>288</v>
      </c>
      <c r="C51" s="23" t="s">
        <v>330</v>
      </c>
      <c r="D51" s="61" t="s">
        <v>331</v>
      </c>
      <c r="E51" s="62" t="s">
        <v>332</v>
      </c>
      <c r="F51" s="23" t="s">
        <v>114</v>
      </c>
      <c r="G51" s="26" t="e">
        <f aca="false">ROUND(14*$H$3,0)</f>
        <v>#VALUE!</v>
      </c>
      <c r="H51" s="25" t="e">
        <f aca="false">$C$3+G51</f>
        <v>#VALUE!</v>
      </c>
      <c r="I51" s="52"/>
      <c r="J51" s="53" t="n">
        <f aca="false">IF(I51="Complete",1,IF(I51="Skipped",1,IF(I51="Blocked",0.5,IF(I51="In Progress",0.25,0))))</f>
        <v>0</v>
      </c>
      <c r="K51" s="54"/>
      <c r="L51" s="55"/>
      <c r="M51" s="56"/>
      <c r="N51" s="57" t="str">
        <f aca="false">IF(M51="","",M51-H51)</f>
        <v/>
      </c>
      <c r="O51" s="58" t="str">
        <f aca="false">IF(M51="","",ABS(M51-H51)*24)</f>
        <v/>
      </c>
      <c r="P51" s="23"/>
      <c r="Q51" s="63" t="s">
        <v>333</v>
      </c>
      <c r="R51" s="63" t="s">
        <v>116</v>
      </c>
      <c r="S51" s="63" t="s">
        <v>334</v>
      </c>
    </row>
    <row r="53" customFormat="false" ht="15" hidden="false" customHeight="true" outlineLevel="0" collapsed="false">
      <c r="A53" s="9" t="s">
        <v>335</v>
      </c>
      <c r="B53" s="9"/>
      <c r="C53" s="9"/>
      <c r="D53" s="9"/>
      <c r="E53" s="9"/>
      <c r="F53" s="9"/>
      <c r="G53" s="31"/>
      <c r="H53" s="31"/>
      <c r="I53" s="68" t="s">
        <v>336</v>
      </c>
      <c r="J53" s="69" t="n">
        <f aca="false">AVERAGE(J6:J51)</f>
        <v>0</v>
      </c>
      <c r="K53" s="31"/>
      <c r="L53" s="68" t="s">
        <v>337</v>
      </c>
      <c r="M53" s="9" t="n">
        <f aca="false">SUMPRODUCT((M6:M51&lt;&gt;"")*1)</f>
        <v>0</v>
      </c>
      <c r="N53" s="31"/>
      <c r="O53" s="33" t="n">
        <f aca="false">SUM(O6:O51)</f>
        <v>0</v>
      </c>
      <c r="P53" s="31"/>
      <c r="Q53" s="31"/>
      <c r="R53" s="31"/>
      <c r="S53" s="31"/>
    </row>
    <row r="54" customFormat="false" ht="15" hidden="false" customHeight="false" outlineLevel="0" collapsed="false">
      <c r="M54" s="70" t="s">
        <v>338</v>
      </c>
      <c r="N54" s="71" t="str">
        <f aca="false">IFERROR(AVERAGE(N6:N51),"")</f>
        <v/>
      </c>
    </row>
    <row r="55" customFormat="false" ht="15" hidden="false" customHeight="false" outlineLevel="0" collapsed="false">
      <c r="M55" s="70" t="s">
        <v>339</v>
      </c>
      <c r="N55" s="72" t="n">
        <f aca="false">IFERROR(MAX(N6:N51),"")</f>
        <v>0</v>
      </c>
    </row>
  </sheetData>
  <autoFilter ref="A5:S5"/>
  <mergeCells count="5">
    <mergeCell ref="A1:S1"/>
    <mergeCell ref="A3:B3"/>
    <mergeCell ref="E3:F3"/>
    <mergeCell ref="I3:J3"/>
    <mergeCell ref="A53:F53"/>
  </mergeCells>
  <conditionalFormatting sqref="I6:I51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0">
      <formula>"Skipped"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2">
      <formula>"In Progress"</formula>
    </cfRule>
  </conditionalFormatting>
  <conditionalFormatting sqref="J6:J51">
    <cfRule type="expression" priority="6" aboveAverage="0" equalAverage="0" bottom="0" percent="0" rank="0" text="" dxfId="14">
      <formula>$J6=1</formula>
    </cfRule>
    <cfRule type="expression" priority="7" aboveAverage="0" equalAverage="0" bottom="0" percent="0" rank="0" text="" dxfId="15">
      <formula>$J6&gt;=0.5</formula>
    </cfRule>
    <cfRule type="expression" priority="8" aboveAverage="0" equalAverage="0" bottom="0" percent="0" rank="0" text="" dxfId="16">
      <formula>$J6&gt;=0.25</formula>
    </cfRule>
  </conditionalFormatting>
  <conditionalFormatting sqref="K6:K51">
    <cfRule type="expression" priority="9" aboveAverage="0" equalAverage="0" bottom="0" percent="0" rank="0" text="" dxfId="17">
      <formula>AND($I6="Complete",$K6="")</formula>
    </cfRule>
    <cfRule type="expression" priority="10" aboveAverage="0" equalAverage="0" bottom="0" percent="0" rank="0" text="" dxfId="14">
      <formula>AND(OR($I6="Complete",$I6="Skipped"),$K6&lt;&gt;"")</formula>
    </cfRule>
  </conditionalFormatting>
  <conditionalFormatting sqref="L6:L51">
    <cfRule type="expression" priority="11" aboveAverage="0" equalAverage="0" bottom="0" percent="0" rank="0" text="" dxfId="17">
      <formula>AND($I6="Complete",$L6="")</formula>
    </cfRule>
    <cfRule type="expression" priority="12" aboveAverage="0" equalAverage="0" bottom="0" percent="0" rank="0" text="" dxfId="18">
      <formula>AND($I6="In Progress",$L6="")</formula>
    </cfRule>
  </conditionalFormatting>
  <conditionalFormatting sqref="M6:M51">
    <cfRule type="expression" priority="13" aboveAverage="0" equalAverage="0" bottom="0" percent="0" rank="0" text="" dxfId="17">
      <formula>AND($I6="Complete",$M6="")</formula>
    </cfRule>
    <cfRule type="expression" priority="14" aboveAverage="0" equalAverage="0" bottom="0" percent="0" rank="0" text="" dxfId="14">
      <formula>AND($I6="Complete",$M6&lt;&gt;"")</formula>
    </cfRule>
  </conditionalFormatting>
  <conditionalFormatting sqref="A6:S51">
    <cfRule type="expression" priority="15" aboveAverage="0" equalAverage="0" bottom="0" percent="0" rank="0" text="" dxfId="19">
      <formula>AND($M6&lt;&gt;"",$N6&gt;=5)</formula>
    </cfRule>
    <cfRule type="expression" priority="16" aboveAverage="0" equalAverage="0" bottom="0" percent="0" rank="0" text="" dxfId="19">
      <formula>AND($M6&lt;&gt;"",$N6&gt;=4)</formula>
    </cfRule>
    <cfRule type="expression" priority="17" aboveAverage="0" equalAverage="0" bottom="0" percent="0" rank="0" text="" dxfId="20">
      <formula>AND($M6&lt;&gt;"",$N6&gt;=3)</formula>
    </cfRule>
    <cfRule type="expression" priority="18" aboveAverage="0" equalAverage="0" bottom="0" percent="0" rank="0" text="" dxfId="20">
      <formula>AND($M6&lt;&gt;"",$N6&gt;=2)</formula>
    </cfRule>
    <cfRule type="expression" priority="19" aboveAverage="0" equalAverage="0" bottom="0" percent="0" rank="0" text="" dxfId="21">
      <formula>AND($M6&lt;&gt;"",$N6&gt;=1)</formula>
    </cfRule>
    <cfRule type="expression" priority="20" aboveAverage="0" equalAverage="0" bottom="0" percent="0" rank="0" text="" dxfId="22">
      <formula>AND($M6&lt;&gt;"",$N6&lt;=0)</formula>
    </cfRule>
  </conditionalFormatting>
  <conditionalFormatting sqref="N6:N51">
    <cfRule type="expression" priority="21" aboveAverage="0" equalAverage="0" bottom="0" percent="0" rank="0" text="" dxfId="23">
      <formula>AND($M6&lt;&gt;"",$N6&gt;=5)</formula>
    </cfRule>
    <cfRule type="expression" priority="22" aboveAverage="0" equalAverage="0" bottom="0" percent="0" rank="0" text="" dxfId="24">
      <formula>AND($M6&lt;&gt;"",$N6&gt;=3)</formula>
    </cfRule>
    <cfRule type="expression" priority="23" aboveAverage="0" equalAverage="0" bottom="0" percent="0" rank="0" text="" dxfId="25">
      <formula>AND($M6&lt;&gt;"",$N6&gt;=1)</formula>
    </cfRule>
    <cfRule type="expression" priority="24" aboveAverage="0" equalAverage="0" bottom="0" percent="0" rank="0" text="" dxfId="26">
      <formula>AND($M6&lt;&gt;"",$N6&lt;=0)</formula>
    </cfRule>
  </conditionalFormatting>
  <dataValidations count="3">
    <dataValidation allowBlank="true" errorStyle="stop" operator="between" prompt="Complete needs: sign-off name + report link + completed date" promptTitle="Status" showDropDown="false" showErrorMessage="false" showInputMessage="true" sqref="I6:I51" type="list">
      <formula1>"Not Started,In Progress,Blocked,Complete,Skipped"</formula1>
      <formula2>0</formula2>
    </dataValidation>
    <dataValidation allowBlank="true" errorStyle="stop" operator="between" prompt="Select team member" promptTitle="Sign Off" showDropDown="false" showErrorMessage="false" showInputMessage="true" sqref="K6:K51" type="list">
      <formula1>TeamMembers</formula1>
      <formula2>0</formula2>
    </dataValidation>
    <dataValidation allowBlank="true" error="Enter a valid date (YYYY-MM-DD)" errorStyle="stop" errorTitle="Invalid Date" operator="greaterThan" prompt="Type the completion date (YYYY-MM-DD)" promptTitle="Completed Date" showDropDown="false" showErrorMessage="true" showInputMessage="true" sqref="M6:M51" type="date">
      <formula1>2020-1-1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tru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4" min="14" style="0" width="7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46"/>
    <col collapsed="false" customWidth="true" hidden="false" outlineLevel="0" max="19" min="18" style="0" width="38"/>
  </cols>
  <sheetData>
    <row r="1" customFormat="false" ht="17.35" hidden="false" customHeight="false" outlineLevel="0" collapsed="false">
      <c r="A1" s="1" t="str">
        <f aca="false">IF(Config!B9&lt;&gt;"",Config!B9&amp;" — DNS, Certificate &amp; SSO Migration Runbook","Project 4 — Assign name on Config sheet")</f>
        <v>Project 4 — Assign name on Config sheet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27.75" hidden="false" customHeight="true" outlineLevel="0" collapsed="false">
      <c r="A3" s="35" t="s">
        <v>40</v>
      </c>
      <c r="B3" s="35"/>
      <c r="C3" s="36" t="n">
        <f aca="false">Config!C9</f>
        <v>0</v>
      </c>
      <c r="D3" s="35" t="s">
        <v>41</v>
      </c>
      <c r="E3" s="37" t="n">
        <f aca="false">Config!D9</f>
        <v>0</v>
      </c>
      <c r="F3" s="37"/>
      <c r="G3" s="35" t="s">
        <v>42</v>
      </c>
      <c r="H3" s="38" t="str">
        <f aca="false">Config!E9</f>
        <v/>
      </c>
      <c r="I3" s="35" t="s">
        <v>43</v>
      </c>
      <c r="J3" s="35"/>
      <c r="K3" s="36" t="str">
        <f aca="false">Config!F9</f>
        <v/>
      </c>
      <c r="L3" s="35" t="s">
        <v>44</v>
      </c>
      <c r="M3" s="39" t="str">
        <f aca="false">Config!G9</f>
        <v/>
      </c>
      <c r="N3" s="40"/>
      <c r="O3" s="40"/>
      <c r="P3" s="40"/>
      <c r="Q3" s="40"/>
      <c r="R3" s="40"/>
      <c r="S3" s="40"/>
    </row>
    <row r="5" customFormat="false" ht="35.05" hidden="false" customHeight="false" outlineLevel="0" collapsed="false">
      <c r="A5" s="9" t="s">
        <v>10</v>
      </c>
      <c r="B5" s="9" t="s">
        <v>45</v>
      </c>
      <c r="C5" s="9" t="s">
        <v>46</v>
      </c>
      <c r="D5" s="9" t="s">
        <v>47</v>
      </c>
      <c r="E5" s="9" t="s">
        <v>48</v>
      </c>
      <c r="F5" s="9" t="s">
        <v>49</v>
      </c>
      <c r="G5" s="9" t="s">
        <v>50</v>
      </c>
      <c r="H5" s="9" t="s">
        <v>51</v>
      </c>
      <c r="I5" s="41" t="s">
        <v>20</v>
      </c>
      <c r="J5" s="42" t="s">
        <v>17</v>
      </c>
      <c r="K5" s="43" t="s">
        <v>52</v>
      </c>
      <c r="L5" s="44" t="s">
        <v>53</v>
      </c>
      <c r="M5" s="45" t="s">
        <v>18</v>
      </c>
      <c r="N5" s="9" t="s">
        <v>54</v>
      </c>
      <c r="O5" s="9" t="s">
        <v>55</v>
      </c>
      <c r="P5" s="9" t="s">
        <v>56</v>
      </c>
      <c r="Q5" s="9" t="s">
        <v>57</v>
      </c>
      <c r="R5" s="9" t="s">
        <v>58</v>
      </c>
      <c r="S5" s="9" t="s">
        <v>59</v>
      </c>
    </row>
    <row r="6" customFormat="false" ht="36" hidden="false" customHeight="true" outlineLevel="0" collapsed="false">
      <c r="A6" s="46" t="n">
        <v>1</v>
      </c>
      <c r="B6" s="47" t="s">
        <v>60</v>
      </c>
      <c r="C6" s="46" t="s">
        <v>61</v>
      </c>
      <c r="D6" s="48" t="s">
        <v>62</v>
      </c>
      <c r="E6" s="49" t="s">
        <v>63</v>
      </c>
      <c r="F6" s="46" t="s">
        <v>64</v>
      </c>
      <c r="G6" s="50" t="e">
        <f aca="false">ROUND(0*$H$3,0)</f>
        <v>#VALUE!</v>
      </c>
      <c r="H6" s="51" t="e">
        <f aca="false">$C$3+G6</f>
        <v>#VALUE!</v>
      </c>
      <c r="I6" s="52"/>
      <c r="J6" s="53" t="n">
        <f aca="false">IF(I6="Complete",1,IF(I6="Skipped",1,IF(I6="Blocked",0.5,IF(I6="In Progress",0.25,0))))</f>
        <v>0</v>
      </c>
      <c r="K6" s="54"/>
      <c r="L6" s="55"/>
      <c r="M6" s="56"/>
      <c r="N6" s="57" t="str">
        <f aca="false">IF(M6="","",M6-H6)</f>
        <v/>
      </c>
      <c r="O6" s="58" t="str">
        <f aca="false">IF(M6="","",ABS(M6-H6)*24)</f>
        <v/>
      </c>
      <c r="P6" s="46"/>
      <c r="Q6" s="59" t="s">
        <v>65</v>
      </c>
      <c r="R6" s="59" t="s">
        <v>66</v>
      </c>
      <c r="S6" s="59" t="s">
        <v>67</v>
      </c>
    </row>
    <row r="7" customFormat="false" ht="36" hidden="false" customHeight="true" outlineLevel="0" collapsed="false">
      <c r="A7" s="23" t="n">
        <v>2</v>
      </c>
      <c r="B7" s="60" t="s">
        <v>60</v>
      </c>
      <c r="C7" s="23" t="s">
        <v>68</v>
      </c>
      <c r="D7" s="61" t="s">
        <v>69</v>
      </c>
      <c r="E7" s="62" t="s">
        <v>70</v>
      </c>
      <c r="F7" s="23" t="s">
        <v>64</v>
      </c>
      <c r="G7" s="26" t="e">
        <f aca="false">ROUND(0*$H$3,0)</f>
        <v>#VALUE!</v>
      </c>
      <c r="H7" s="25" t="e">
        <f aca="false">$C$3+G7</f>
        <v>#VALUE!</v>
      </c>
      <c r="I7" s="52"/>
      <c r="J7" s="53" t="n">
        <f aca="false">IF(I7="Complete",1,IF(I7="Skipped",1,IF(I7="Blocked",0.5,IF(I7="In Progress",0.25,0))))</f>
        <v>0</v>
      </c>
      <c r="K7" s="54"/>
      <c r="L7" s="55"/>
      <c r="M7" s="56"/>
      <c r="N7" s="57" t="str">
        <f aca="false">IF(M7="","",M7-H7)</f>
        <v/>
      </c>
      <c r="O7" s="58" t="str">
        <f aca="false">IF(M7="","",ABS(M7-H7)*24)</f>
        <v/>
      </c>
      <c r="P7" s="23"/>
      <c r="Q7" s="63" t="s">
        <v>71</v>
      </c>
      <c r="R7" s="63" t="s">
        <v>66</v>
      </c>
      <c r="S7" s="63" t="s">
        <v>72</v>
      </c>
    </row>
    <row r="8" customFormat="false" ht="36" hidden="false" customHeight="true" outlineLevel="0" collapsed="false">
      <c r="A8" s="11" t="n">
        <v>3</v>
      </c>
      <c r="B8" s="64" t="s">
        <v>60</v>
      </c>
      <c r="C8" s="11" t="s">
        <v>73</v>
      </c>
      <c r="D8" s="65" t="s">
        <v>74</v>
      </c>
      <c r="E8" s="66" t="s">
        <v>75</v>
      </c>
      <c r="F8" s="11" t="s">
        <v>64</v>
      </c>
      <c r="G8" s="17" t="e">
        <f aca="false">ROUND(0*$H$3,0)</f>
        <v>#VALUE!</v>
      </c>
      <c r="H8" s="16" t="e">
        <f aca="false">$C$3+G8</f>
        <v>#VALUE!</v>
      </c>
      <c r="I8" s="52"/>
      <c r="J8" s="53" t="n">
        <f aca="false">IF(I8="Complete",1,IF(I8="Skipped",1,IF(I8="Blocked",0.5,IF(I8="In Progress",0.25,0))))</f>
        <v>0</v>
      </c>
      <c r="K8" s="54"/>
      <c r="L8" s="55"/>
      <c r="M8" s="56"/>
      <c r="N8" s="57" t="str">
        <f aca="false">IF(M8="","",M8-H8)</f>
        <v/>
      </c>
      <c r="O8" s="58" t="str">
        <f aca="false">IF(M8="","",ABS(M8-H8)*24)</f>
        <v/>
      </c>
      <c r="P8" s="11"/>
      <c r="Q8" s="67" t="s">
        <v>76</v>
      </c>
      <c r="R8" s="67" t="s">
        <v>66</v>
      </c>
      <c r="S8" s="67" t="s">
        <v>77</v>
      </c>
    </row>
    <row r="9" customFormat="false" ht="36" hidden="false" customHeight="true" outlineLevel="0" collapsed="false">
      <c r="A9" s="23" t="n">
        <v>4</v>
      </c>
      <c r="B9" s="60" t="s">
        <v>60</v>
      </c>
      <c r="C9" s="23" t="s">
        <v>78</v>
      </c>
      <c r="D9" s="61" t="s">
        <v>79</v>
      </c>
      <c r="E9" s="62" t="s">
        <v>80</v>
      </c>
      <c r="F9" s="23" t="s">
        <v>64</v>
      </c>
      <c r="G9" s="26" t="e">
        <f aca="false">ROUND(1*$H$3,0)</f>
        <v>#VALUE!</v>
      </c>
      <c r="H9" s="25" t="e">
        <f aca="false">$C$3+G9</f>
        <v>#VALUE!</v>
      </c>
      <c r="I9" s="52"/>
      <c r="J9" s="53" t="n">
        <f aca="false">IF(I9="Complete",1,IF(I9="Skipped",1,IF(I9="Blocked",0.5,IF(I9="In Progress",0.25,0))))</f>
        <v>0</v>
      </c>
      <c r="K9" s="54"/>
      <c r="L9" s="55"/>
      <c r="M9" s="56"/>
      <c r="N9" s="57" t="str">
        <f aca="false">IF(M9="","",M9-H9)</f>
        <v/>
      </c>
      <c r="O9" s="58" t="str">
        <f aca="false">IF(M9="","",ABS(M9-H9)*24)</f>
        <v/>
      </c>
      <c r="P9" s="23"/>
      <c r="Q9" s="63" t="s">
        <v>81</v>
      </c>
      <c r="R9" s="63" t="s">
        <v>66</v>
      </c>
      <c r="S9" s="63" t="s">
        <v>82</v>
      </c>
    </row>
    <row r="10" customFormat="false" ht="36" hidden="false" customHeight="true" outlineLevel="0" collapsed="false">
      <c r="A10" s="11" t="n">
        <v>5</v>
      </c>
      <c r="B10" s="64" t="s">
        <v>60</v>
      </c>
      <c r="C10" s="11" t="s">
        <v>83</v>
      </c>
      <c r="D10" s="65" t="s">
        <v>84</v>
      </c>
      <c r="E10" s="66" t="s">
        <v>85</v>
      </c>
      <c r="F10" s="11" t="s">
        <v>64</v>
      </c>
      <c r="G10" s="17" t="e">
        <f aca="false">ROUND(1*$H$3,0)</f>
        <v>#VALUE!</v>
      </c>
      <c r="H10" s="16" t="e">
        <f aca="false">$C$3+G10</f>
        <v>#VALUE!</v>
      </c>
      <c r="I10" s="52"/>
      <c r="J10" s="53" t="n">
        <f aca="false">IF(I10="Complete",1,IF(I10="Skipped",1,IF(I10="Blocked",0.5,IF(I10="In Progress",0.25,0))))</f>
        <v>0</v>
      </c>
      <c r="K10" s="54"/>
      <c r="L10" s="55"/>
      <c r="M10" s="56"/>
      <c r="N10" s="57" t="str">
        <f aca="false">IF(M10="","",M10-H10)</f>
        <v/>
      </c>
      <c r="O10" s="58" t="str">
        <f aca="false">IF(M10="","",ABS(M10-H10)*24)</f>
        <v/>
      </c>
      <c r="P10" s="11"/>
      <c r="Q10" s="67" t="s">
        <v>86</v>
      </c>
      <c r="R10" s="67" t="s">
        <v>66</v>
      </c>
      <c r="S10" s="67" t="s">
        <v>87</v>
      </c>
    </row>
    <row r="11" customFormat="false" ht="36" hidden="false" customHeight="true" outlineLevel="0" collapsed="false">
      <c r="A11" s="23" t="n">
        <v>6</v>
      </c>
      <c r="B11" s="60" t="s">
        <v>60</v>
      </c>
      <c r="C11" s="23" t="s">
        <v>88</v>
      </c>
      <c r="D11" s="61" t="s">
        <v>89</v>
      </c>
      <c r="E11" s="62" t="s">
        <v>90</v>
      </c>
      <c r="F11" s="23" t="s">
        <v>64</v>
      </c>
      <c r="G11" s="26" t="e">
        <f aca="false">ROUND(1*$H$3,0)</f>
        <v>#VALUE!</v>
      </c>
      <c r="H11" s="25" t="e">
        <f aca="false">$C$3+G11</f>
        <v>#VALUE!</v>
      </c>
      <c r="I11" s="52"/>
      <c r="J11" s="53" t="n">
        <f aca="false">IF(I11="Complete",1,IF(I11="Skipped",1,IF(I11="Blocked",0.5,IF(I11="In Progress",0.25,0))))</f>
        <v>0</v>
      </c>
      <c r="K11" s="54"/>
      <c r="L11" s="55"/>
      <c r="M11" s="56"/>
      <c r="N11" s="57" t="str">
        <f aca="false">IF(M11="","",M11-H11)</f>
        <v/>
      </c>
      <c r="O11" s="58" t="str">
        <f aca="false">IF(M11="","",ABS(M11-H11)*24)</f>
        <v/>
      </c>
      <c r="P11" s="23"/>
      <c r="Q11" s="63" t="s">
        <v>91</v>
      </c>
      <c r="R11" s="63" t="s">
        <v>66</v>
      </c>
      <c r="S11" s="63" t="s">
        <v>92</v>
      </c>
    </row>
    <row r="12" customFormat="false" ht="36" hidden="false" customHeight="true" outlineLevel="0" collapsed="false">
      <c r="A12" s="11" t="n">
        <v>7</v>
      </c>
      <c r="B12" s="64" t="s">
        <v>60</v>
      </c>
      <c r="C12" s="11" t="s">
        <v>93</v>
      </c>
      <c r="D12" s="65" t="s">
        <v>94</v>
      </c>
      <c r="E12" s="66" t="s">
        <v>95</v>
      </c>
      <c r="F12" s="11" t="s">
        <v>96</v>
      </c>
      <c r="G12" s="17" t="e">
        <f aca="false">ROUND(1*$H$3,0)</f>
        <v>#VALUE!</v>
      </c>
      <c r="H12" s="16" t="e">
        <f aca="false">$C$3+G12</f>
        <v>#VALUE!</v>
      </c>
      <c r="I12" s="52"/>
      <c r="J12" s="53" t="n">
        <f aca="false">IF(I12="Complete",1,IF(I12="Skipped",1,IF(I12="Blocked",0.5,IF(I12="In Progress",0.25,0))))</f>
        <v>0</v>
      </c>
      <c r="K12" s="54"/>
      <c r="L12" s="55"/>
      <c r="M12" s="56"/>
      <c r="N12" s="57" t="str">
        <f aca="false">IF(M12="","",M12-H12)</f>
        <v/>
      </c>
      <c r="O12" s="58" t="str">
        <f aca="false">IF(M12="","",ABS(M12-H12)*24)</f>
        <v/>
      </c>
      <c r="P12" s="11"/>
      <c r="Q12" s="67" t="s">
        <v>97</v>
      </c>
      <c r="R12" s="67" t="s">
        <v>66</v>
      </c>
      <c r="S12" s="67" t="s">
        <v>98</v>
      </c>
    </row>
    <row r="13" customFormat="false" ht="36" hidden="false" customHeight="true" outlineLevel="0" collapsed="false">
      <c r="A13" s="23" t="n">
        <v>8</v>
      </c>
      <c r="B13" s="60" t="s">
        <v>60</v>
      </c>
      <c r="C13" s="23" t="s">
        <v>99</v>
      </c>
      <c r="D13" s="61" t="s">
        <v>100</v>
      </c>
      <c r="E13" s="62" t="s">
        <v>101</v>
      </c>
      <c r="F13" s="23" t="s">
        <v>64</v>
      </c>
      <c r="G13" s="26" t="e">
        <f aca="false">ROUND(1*$H$3,0)</f>
        <v>#VALUE!</v>
      </c>
      <c r="H13" s="25" t="e">
        <f aca="false">$C$3+G13</f>
        <v>#VALUE!</v>
      </c>
      <c r="I13" s="52"/>
      <c r="J13" s="53" t="n">
        <f aca="false">IF(I13="Complete",1,IF(I13="Skipped",1,IF(I13="Blocked",0.5,IF(I13="In Progress",0.25,0))))</f>
        <v>0</v>
      </c>
      <c r="K13" s="54"/>
      <c r="L13" s="55"/>
      <c r="M13" s="56"/>
      <c r="N13" s="57" t="str">
        <f aca="false">IF(M13="","",M13-H13)</f>
        <v/>
      </c>
      <c r="O13" s="58" t="str">
        <f aca="false">IF(M13="","",ABS(M13-H13)*24)</f>
        <v/>
      </c>
      <c r="P13" s="23"/>
      <c r="Q13" s="63" t="s">
        <v>102</v>
      </c>
      <c r="R13" s="63" t="s">
        <v>103</v>
      </c>
      <c r="S13" s="63" t="s">
        <v>104</v>
      </c>
    </row>
    <row r="14" customFormat="false" ht="36" hidden="false" customHeight="true" outlineLevel="0" collapsed="false">
      <c r="A14" s="11" t="n">
        <v>9</v>
      </c>
      <c r="B14" s="64" t="s">
        <v>60</v>
      </c>
      <c r="C14" s="11" t="s">
        <v>105</v>
      </c>
      <c r="D14" s="65" t="s">
        <v>106</v>
      </c>
      <c r="E14" s="66" t="s">
        <v>107</v>
      </c>
      <c r="F14" s="11" t="s">
        <v>64</v>
      </c>
      <c r="G14" s="17" t="e">
        <f aca="false">ROUND(2*$H$3,0)</f>
        <v>#VALUE!</v>
      </c>
      <c r="H14" s="16" t="e">
        <f aca="false">$C$3+G14</f>
        <v>#VALUE!</v>
      </c>
      <c r="I14" s="52"/>
      <c r="J14" s="53" t="n">
        <f aca="false">IF(I14="Complete",1,IF(I14="Skipped",1,IF(I14="Blocked",0.5,IF(I14="In Progress",0.25,0))))</f>
        <v>0</v>
      </c>
      <c r="K14" s="54"/>
      <c r="L14" s="55"/>
      <c r="M14" s="56"/>
      <c r="N14" s="57" t="str">
        <f aca="false">IF(M14="","",M14-H14)</f>
        <v/>
      </c>
      <c r="O14" s="58" t="str">
        <f aca="false">IF(M14="","",ABS(M14-H14)*24)</f>
        <v/>
      </c>
      <c r="P14" s="11"/>
      <c r="Q14" s="67" t="s">
        <v>108</v>
      </c>
      <c r="R14" s="67" t="s">
        <v>109</v>
      </c>
      <c r="S14" s="67" t="s">
        <v>110</v>
      </c>
    </row>
    <row r="15" customFormat="false" ht="36" hidden="false" customHeight="true" outlineLevel="0" collapsed="false">
      <c r="A15" s="23" t="n">
        <v>10</v>
      </c>
      <c r="B15" s="60" t="s">
        <v>60</v>
      </c>
      <c r="C15" s="23" t="s">
        <v>111</v>
      </c>
      <c r="D15" s="61" t="s">
        <v>112</v>
      </c>
      <c r="E15" s="62" t="s">
        <v>113</v>
      </c>
      <c r="F15" s="23" t="s">
        <v>114</v>
      </c>
      <c r="G15" s="26" t="e">
        <f aca="false">ROUND(2*$H$3,0)</f>
        <v>#VALUE!</v>
      </c>
      <c r="H15" s="25" t="e">
        <f aca="false">$C$3+G15</f>
        <v>#VALUE!</v>
      </c>
      <c r="I15" s="52"/>
      <c r="J15" s="53" t="n">
        <f aca="false">IF(I15="Complete",1,IF(I15="Skipped",1,IF(I15="Blocked",0.5,IF(I15="In Progress",0.25,0))))</f>
        <v>0</v>
      </c>
      <c r="K15" s="54"/>
      <c r="L15" s="55"/>
      <c r="M15" s="56"/>
      <c r="N15" s="57" t="str">
        <f aca="false">IF(M15="","",M15-H15)</f>
        <v/>
      </c>
      <c r="O15" s="58" t="str">
        <f aca="false">IF(M15="","",ABS(M15-H15)*24)</f>
        <v/>
      </c>
      <c r="P15" s="23"/>
      <c r="Q15" s="63" t="s">
        <v>115</v>
      </c>
      <c r="R15" s="63" t="s">
        <v>116</v>
      </c>
      <c r="S15" s="63" t="s">
        <v>117</v>
      </c>
    </row>
    <row r="16" customFormat="false" ht="36" hidden="false" customHeight="true" outlineLevel="0" collapsed="false">
      <c r="A16" s="46" t="n">
        <v>11</v>
      </c>
      <c r="B16" s="47" t="s">
        <v>118</v>
      </c>
      <c r="C16" s="46" t="s">
        <v>119</v>
      </c>
      <c r="D16" s="48" t="s">
        <v>120</v>
      </c>
      <c r="E16" s="49" t="s">
        <v>121</v>
      </c>
      <c r="F16" s="46" t="s">
        <v>64</v>
      </c>
      <c r="G16" s="50" t="e">
        <f aca="false">ROUND(3*$H$3,0)</f>
        <v>#VALUE!</v>
      </c>
      <c r="H16" s="51" t="e">
        <f aca="false">$C$3+G16</f>
        <v>#VALUE!</v>
      </c>
      <c r="I16" s="52"/>
      <c r="J16" s="53" t="n">
        <f aca="false">IF(I16="Complete",1,IF(I16="Skipped",1,IF(I16="Blocked",0.5,IF(I16="In Progress",0.25,0))))</f>
        <v>0</v>
      </c>
      <c r="K16" s="54"/>
      <c r="L16" s="55"/>
      <c r="M16" s="56"/>
      <c r="N16" s="57" t="str">
        <f aca="false">IF(M16="","",M16-H16)</f>
        <v/>
      </c>
      <c r="O16" s="58" t="str">
        <f aca="false">IF(M16="","",ABS(M16-H16)*24)</f>
        <v/>
      </c>
      <c r="P16" s="46"/>
      <c r="Q16" s="59" t="s">
        <v>122</v>
      </c>
      <c r="R16" s="59" t="s">
        <v>123</v>
      </c>
      <c r="S16" s="59" t="s">
        <v>124</v>
      </c>
    </row>
    <row r="17" customFormat="false" ht="36" hidden="false" customHeight="true" outlineLevel="0" collapsed="false">
      <c r="A17" s="23" t="n">
        <v>12</v>
      </c>
      <c r="B17" s="60" t="s">
        <v>118</v>
      </c>
      <c r="C17" s="23" t="s">
        <v>125</v>
      </c>
      <c r="D17" s="61" t="s">
        <v>126</v>
      </c>
      <c r="E17" s="62" t="s">
        <v>127</v>
      </c>
      <c r="F17" s="23" t="s">
        <v>64</v>
      </c>
      <c r="G17" s="26" t="e">
        <f aca="false">ROUND(3*$H$3,0)</f>
        <v>#VALUE!</v>
      </c>
      <c r="H17" s="25" t="e">
        <f aca="false">$C$3+G17</f>
        <v>#VALUE!</v>
      </c>
      <c r="I17" s="52"/>
      <c r="J17" s="53" t="n">
        <f aca="false">IF(I17="Complete",1,IF(I17="Skipped",1,IF(I17="Blocked",0.5,IF(I17="In Progress",0.25,0))))</f>
        <v>0</v>
      </c>
      <c r="K17" s="54"/>
      <c r="L17" s="55"/>
      <c r="M17" s="56"/>
      <c r="N17" s="57" t="str">
        <f aca="false">IF(M17="","",M17-H17)</f>
        <v/>
      </c>
      <c r="O17" s="58" t="str">
        <f aca="false">IF(M17="","",ABS(M17-H17)*24)</f>
        <v/>
      </c>
      <c r="P17" s="23"/>
      <c r="Q17" s="63" t="s">
        <v>128</v>
      </c>
      <c r="R17" s="63" t="s">
        <v>129</v>
      </c>
      <c r="S17" s="63" t="s">
        <v>130</v>
      </c>
    </row>
    <row r="18" customFormat="false" ht="36" hidden="false" customHeight="true" outlineLevel="0" collapsed="false">
      <c r="A18" s="11" t="n">
        <v>13</v>
      </c>
      <c r="B18" s="64" t="s">
        <v>118</v>
      </c>
      <c r="C18" s="11" t="s">
        <v>131</v>
      </c>
      <c r="D18" s="65" t="s">
        <v>132</v>
      </c>
      <c r="E18" s="66" t="s">
        <v>133</v>
      </c>
      <c r="F18" s="11" t="s">
        <v>64</v>
      </c>
      <c r="G18" s="17" t="e">
        <f aca="false">ROUND(3*$H$3,0)</f>
        <v>#VALUE!</v>
      </c>
      <c r="H18" s="16" t="e">
        <f aca="false">$C$3+G18</f>
        <v>#VALUE!</v>
      </c>
      <c r="I18" s="52"/>
      <c r="J18" s="53" t="n">
        <f aca="false">IF(I18="Complete",1,IF(I18="Skipped",1,IF(I18="Blocked",0.5,IF(I18="In Progress",0.25,0))))</f>
        <v>0</v>
      </c>
      <c r="K18" s="54"/>
      <c r="L18" s="55"/>
      <c r="M18" s="56"/>
      <c r="N18" s="57" t="str">
        <f aca="false">IF(M18="","",M18-H18)</f>
        <v/>
      </c>
      <c r="O18" s="58" t="str">
        <f aca="false">IF(M18="","",ABS(M18-H18)*24)</f>
        <v/>
      </c>
      <c r="P18" s="11"/>
      <c r="Q18" s="67" t="s">
        <v>134</v>
      </c>
      <c r="R18" s="67" t="s">
        <v>135</v>
      </c>
      <c r="S18" s="67" t="s">
        <v>136</v>
      </c>
    </row>
    <row r="19" customFormat="false" ht="36" hidden="false" customHeight="true" outlineLevel="0" collapsed="false">
      <c r="A19" s="23" t="n">
        <v>14</v>
      </c>
      <c r="B19" s="60" t="s">
        <v>118</v>
      </c>
      <c r="C19" s="23" t="s">
        <v>137</v>
      </c>
      <c r="D19" s="61" t="s">
        <v>138</v>
      </c>
      <c r="E19" s="62" t="s">
        <v>139</v>
      </c>
      <c r="F19" s="23" t="s">
        <v>64</v>
      </c>
      <c r="G19" s="26" t="e">
        <f aca="false">ROUND(3*$H$3,0)</f>
        <v>#VALUE!</v>
      </c>
      <c r="H19" s="25" t="e">
        <f aca="false">$C$3+G19</f>
        <v>#VALUE!</v>
      </c>
      <c r="I19" s="52"/>
      <c r="J19" s="53" t="n">
        <f aca="false">IF(I19="Complete",1,IF(I19="Skipped",1,IF(I19="Blocked",0.5,IF(I19="In Progress",0.25,0))))</f>
        <v>0</v>
      </c>
      <c r="K19" s="54"/>
      <c r="L19" s="55"/>
      <c r="M19" s="56"/>
      <c r="N19" s="57" t="str">
        <f aca="false">IF(M19="","",M19-H19)</f>
        <v/>
      </c>
      <c r="O19" s="58" t="str">
        <f aca="false">IF(M19="","",ABS(M19-H19)*24)</f>
        <v/>
      </c>
      <c r="P19" s="23"/>
      <c r="Q19" s="63" t="s">
        <v>140</v>
      </c>
      <c r="R19" s="63" t="s">
        <v>141</v>
      </c>
      <c r="S19" s="63" t="s">
        <v>142</v>
      </c>
    </row>
    <row r="20" customFormat="false" ht="36" hidden="false" customHeight="true" outlineLevel="0" collapsed="false">
      <c r="A20" s="11" t="n">
        <v>15</v>
      </c>
      <c r="B20" s="64" t="s">
        <v>118</v>
      </c>
      <c r="C20" s="11" t="s">
        <v>143</v>
      </c>
      <c r="D20" s="65" t="s">
        <v>144</v>
      </c>
      <c r="E20" s="66" t="s">
        <v>145</v>
      </c>
      <c r="F20" s="11" t="s">
        <v>64</v>
      </c>
      <c r="G20" s="17" t="e">
        <f aca="false">ROUND(3*$H$3,0)</f>
        <v>#VALUE!</v>
      </c>
      <c r="H20" s="16" t="e">
        <f aca="false">$C$3+G20</f>
        <v>#VALUE!</v>
      </c>
      <c r="I20" s="52"/>
      <c r="J20" s="53" t="n">
        <f aca="false">IF(I20="Complete",1,IF(I20="Skipped",1,IF(I20="Blocked",0.5,IF(I20="In Progress",0.25,0))))</f>
        <v>0</v>
      </c>
      <c r="K20" s="54"/>
      <c r="L20" s="55"/>
      <c r="M20" s="56"/>
      <c r="N20" s="57" t="str">
        <f aca="false">IF(M20="","",M20-H20)</f>
        <v/>
      </c>
      <c r="O20" s="58" t="str">
        <f aca="false">IF(M20="","",ABS(M20-H20)*24)</f>
        <v/>
      </c>
      <c r="P20" s="11"/>
      <c r="Q20" s="67" t="s">
        <v>146</v>
      </c>
      <c r="R20" s="67" t="s">
        <v>147</v>
      </c>
      <c r="S20" s="67" t="s">
        <v>148</v>
      </c>
    </row>
    <row r="21" customFormat="false" ht="36" hidden="false" customHeight="true" outlineLevel="0" collapsed="false">
      <c r="A21" s="23" t="n">
        <v>16</v>
      </c>
      <c r="B21" s="60" t="s">
        <v>118</v>
      </c>
      <c r="C21" s="23" t="s">
        <v>149</v>
      </c>
      <c r="D21" s="61" t="s">
        <v>150</v>
      </c>
      <c r="E21" s="62" t="s">
        <v>151</v>
      </c>
      <c r="F21" s="23" t="s">
        <v>152</v>
      </c>
      <c r="G21" s="26" t="e">
        <f aca="false">ROUND(3*$H$3,0)</f>
        <v>#VALUE!</v>
      </c>
      <c r="H21" s="25" t="e">
        <f aca="false">$C$3+G21</f>
        <v>#VALUE!</v>
      </c>
      <c r="I21" s="52"/>
      <c r="J21" s="53" t="n">
        <f aca="false">IF(I21="Complete",1,IF(I21="Skipped",1,IF(I21="Blocked",0.5,IF(I21="In Progress",0.25,0))))</f>
        <v>0</v>
      </c>
      <c r="K21" s="54"/>
      <c r="L21" s="55"/>
      <c r="M21" s="56"/>
      <c r="N21" s="57" t="str">
        <f aca="false">IF(M21="","",M21-H21)</f>
        <v/>
      </c>
      <c r="O21" s="58" t="str">
        <f aca="false">IF(M21="","",ABS(M21-H21)*24)</f>
        <v/>
      </c>
      <c r="P21" s="23"/>
      <c r="Q21" s="63" t="s">
        <v>153</v>
      </c>
      <c r="R21" s="63" t="s">
        <v>154</v>
      </c>
      <c r="S21" s="63" t="s">
        <v>155</v>
      </c>
    </row>
    <row r="22" customFormat="false" ht="36" hidden="false" customHeight="true" outlineLevel="0" collapsed="false">
      <c r="A22" s="46" t="n">
        <v>17</v>
      </c>
      <c r="B22" s="47" t="s">
        <v>156</v>
      </c>
      <c r="C22" s="46" t="s">
        <v>157</v>
      </c>
      <c r="D22" s="48" t="s">
        <v>158</v>
      </c>
      <c r="E22" s="49" t="s">
        <v>159</v>
      </c>
      <c r="F22" s="46" t="s">
        <v>64</v>
      </c>
      <c r="G22" s="50" t="e">
        <f aca="false">ROUND(4*$H$3,0)</f>
        <v>#VALUE!</v>
      </c>
      <c r="H22" s="51" t="e">
        <f aca="false">$C$3+G22</f>
        <v>#VALUE!</v>
      </c>
      <c r="I22" s="52"/>
      <c r="J22" s="53" t="n">
        <f aca="false">IF(I22="Complete",1,IF(I22="Skipped",1,IF(I22="Blocked",0.5,IF(I22="In Progress",0.25,0))))</f>
        <v>0</v>
      </c>
      <c r="K22" s="54"/>
      <c r="L22" s="55"/>
      <c r="M22" s="56"/>
      <c r="N22" s="57" t="str">
        <f aca="false">IF(M22="","",M22-H22)</f>
        <v/>
      </c>
      <c r="O22" s="58" t="str">
        <f aca="false">IF(M22="","",ABS(M22-H22)*24)</f>
        <v/>
      </c>
      <c r="P22" s="46"/>
      <c r="Q22" s="59" t="s">
        <v>160</v>
      </c>
      <c r="R22" s="59" t="s">
        <v>161</v>
      </c>
      <c r="S22" s="59" t="s">
        <v>162</v>
      </c>
    </row>
    <row r="23" customFormat="false" ht="36" hidden="false" customHeight="true" outlineLevel="0" collapsed="false">
      <c r="A23" s="23" t="n">
        <v>18</v>
      </c>
      <c r="B23" s="60" t="s">
        <v>156</v>
      </c>
      <c r="C23" s="23" t="s">
        <v>163</v>
      </c>
      <c r="D23" s="61" t="s">
        <v>164</v>
      </c>
      <c r="E23" s="62" t="s">
        <v>165</v>
      </c>
      <c r="F23" s="23" t="s">
        <v>64</v>
      </c>
      <c r="G23" s="26" t="e">
        <f aca="false">ROUND(4*$H$3,0)</f>
        <v>#VALUE!</v>
      </c>
      <c r="H23" s="25" t="e">
        <f aca="false">$C$3+G23</f>
        <v>#VALUE!</v>
      </c>
      <c r="I23" s="52"/>
      <c r="J23" s="53" t="n">
        <f aca="false">IF(I23="Complete",1,IF(I23="Skipped",1,IF(I23="Blocked",0.5,IF(I23="In Progress",0.25,0))))</f>
        <v>0</v>
      </c>
      <c r="K23" s="54"/>
      <c r="L23" s="55"/>
      <c r="M23" s="56"/>
      <c r="N23" s="57" t="str">
        <f aca="false">IF(M23="","",M23-H23)</f>
        <v/>
      </c>
      <c r="O23" s="58" t="str">
        <f aca="false">IF(M23="","",ABS(M23-H23)*24)</f>
        <v/>
      </c>
      <c r="P23" s="23"/>
      <c r="Q23" s="63" t="s">
        <v>166</v>
      </c>
      <c r="R23" s="63" t="s">
        <v>167</v>
      </c>
      <c r="S23" s="63"/>
    </row>
    <row r="24" customFormat="false" ht="36" hidden="false" customHeight="true" outlineLevel="0" collapsed="false">
      <c r="A24" s="11" t="n">
        <v>19</v>
      </c>
      <c r="B24" s="64" t="s">
        <v>156</v>
      </c>
      <c r="C24" s="11" t="s">
        <v>168</v>
      </c>
      <c r="D24" s="65" t="s">
        <v>169</v>
      </c>
      <c r="E24" s="66" t="s">
        <v>170</v>
      </c>
      <c r="F24" s="11" t="s">
        <v>64</v>
      </c>
      <c r="G24" s="17" t="e">
        <f aca="false">ROUND(4*$H$3,0)</f>
        <v>#VALUE!</v>
      </c>
      <c r="H24" s="16" t="e">
        <f aca="false">$C$3+G24</f>
        <v>#VALUE!</v>
      </c>
      <c r="I24" s="52"/>
      <c r="J24" s="53" t="n">
        <f aca="false">IF(I24="Complete",1,IF(I24="Skipped",1,IF(I24="Blocked",0.5,IF(I24="In Progress",0.25,0))))</f>
        <v>0</v>
      </c>
      <c r="K24" s="54"/>
      <c r="L24" s="55"/>
      <c r="M24" s="56"/>
      <c r="N24" s="57" t="str">
        <f aca="false">IF(M24="","",M24-H24)</f>
        <v/>
      </c>
      <c r="O24" s="58" t="str">
        <f aca="false">IF(M24="","",ABS(M24-H24)*24)</f>
        <v/>
      </c>
      <c r="P24" s="11"/>
      <c r="Q24" s="67" t="s">
        <v>171</v>
      </c>
      <c r="R24" s="67" t="s">
        <v>172</v>
      </c>
      <c r="S24" s="67" t="s">
        <v>173</v>
      </c>
    </row>
    <row r="25" customFormat="false" ht="36" hidden="false" customHeight="true" outlineLevel="0" collapsed="false">
      <c r="A25" s="23" t="n">
        <v>20</v>
      </c>
      <c r="B25" s="60" t="s">
        <v>156</v>
      </c>
      <c r="C25" s="23" t="s">
        <v>174</v>
      </c>
      <c r="D25" s="61" t="s">
        <v>175</v>
      </c>
      <c r="E25" s="62" t="s">
        <v>176</v>
      </c>
      <c r="F25" s="23" t="s">
        <v>64</v>
      </c>
      <c r="G25" s="26" t="e">
        <f aca="false">ROUND(4*$H$3,0)</f>
        <v>#VALUE!</v>
      </c>
      <c r="H25" s="25" t="e">
        <f aca="false">$C$3+G25</f>
        <v>#VALUE!</v>
      </c>
      <c r="I25" s="52"/>
      <c r="J25" s="53" t="n">
        <f aca="false">IF(I25="Complete",1,IF(I25="Skipped",1,IF(I25="Blocked",0.5,IF(I25="In Progress",0.25,0))))</f>
        <v>0</v>
      </c>
      <c r="K25" s="54"/>
      <c r="L25" s="55"/>
      <c r="M25" s="56"/>
      <c r="N25" s="57" t="str">
        <f aca="false">IF(M25="","",M25-H25)</f>
        <v/>
      </c>
      <c r="O25" s="58" t="str">
        <f aca="false">IF(M25="","",ABS(M25-H25)*24)</f>
        <v/>
      </c>
      <c r="P25" s="23"/>
      <c r="Q25" s="63" t="s">
        <v>177</v>
      </c>
      <c r="R25" s="63" t="s">
        <v>178</v>
      </c>
      <c r="S25" s="63" t="s">
        <v>179</v>
      </c>
    </row>
    <row r="26" customFormat="false" ht="36" hidden="false" customHeight="true" outlineLevel="0" collapsed="false">
      <c r="A26" s="11" t="n">
        <v>21</v>
      </c>
      <c r="B26" s="64" t="s">
        <v>156</v>
      </c>
      <c r="C26" s="11" t="s">
        <v>180</v>
      </c>
      <c r="D26" s="65" t="s">
        <v>181</v>
      </c>
      <c r="E26" s="66" t="s">
        <v>182</v>
      </c>
      <c r="F26" s="11" t="s">
        <v>64</v>
      </c>
      <c r="G26" s="17" t="e">
        <f aca="false">ROUND(4*$H$3,0)</f>
        <v>#VALUE!</v>
      </c>
      <c r="H26" s="16" t="e">
        <f aca="false">$C$3+G26</f>
        <v>#VALUE!</v>
      </c>
      <c r="I26" s="52"/>
      <c r="J26" s="53" t="n">
        <f aca="false">IF(I26="Complete",1,IF(I26="Skipped",1,IF(I26="Blocked",0.5,IF(I26="In Progress",0.25,0))))</f>
        <v>0</v>
      </c>
      <c r="K26" s="54"/>
      <c r="L26" s="55"/>
      <c r="M26" s="56"/>
      <c r="N26" s="57" t="str">
        <f aca="false">IF(M26="","",M26-H26)</f>
        <v/>
      </c>
      <c r="O26" s="58" t="str">
        <f aca="false">IF(M26="","",ABS(M26-H26)*24)</f>
        <v/>
      </c>
      <c r="P26" s="11"/>
      <c r="Q26" s="67" t="s">
        <v>183</v>
      </c>
      <c r="R26" s="67" t="s">
        <v>184</v>
      </c>
      <c r="S26" s="67" t="s">
        <v>185</v>
      </c>
    </row>
    <row r="27" customFormat="false" ht="36" hidden="false" customHeight="true" outlineLevel="0" collapsed="false">
      <c r="A27" s="23" t="n">
        <v>22</v>
      </c>
      <c r="B27" s="60" t="s">
        <v>156</v>
      </c>
      <c r="C27" s="23" t="s">
        <v>186</v>
      </c>
      <c r="D27" s="61" t="s">
        <v>187</v>
      </c>
      <c r="E27" s="62" t="s">
        <v>188</v>
      </c>
      <c r="F27" s="23" t="s">
        <v>64</v>
      </c>
      <c r="G27" s="26" t="e">
        <f aca="false">ROUND(4*$H$3,0)</f>
        <v>#VALUE!</v>
      </c>
      <c r="H27" s="25" t="e">
        <f aca="false">$C$3+G27</f>
        <v>#VALUE!</v>
      </c>
      <c r="I27" s="52"/>
      <c r="J27" s="53" t="n">
        <f aca="false">IF(I27="Complete",1,IF(I27="Skipped",1,IF(I27="Blocked",0.5,IF(I27="In Progress",0.25,0))))</f>
        <v>0</v>
      </c>
      <c r="K27" s="54"/>
      <c r="L27" s="55"/>
      <c r="M27" s="56"/>
      <c r="N27" s="57" t="str">
        <f aca="false">IF(M27="","",M27-H27)</f>
        <v/>
      </c>
      <c r="O27" s="58" t="str">
        <f aca="false">IF(M27="","",ABS(M27-H27)*24)</f>
        <v/>
      </c>
      <c r="P27" s="23"/>
      <c r="Q27" s="63" t="s">
        <v>189</v>
      </c>
      <c r="R27" s="63" t="s">
        <v>190</v>
      </c>
      <c r="S27" s="63" t="s">
        <v>191</v>
      </c>
    </row>
    <row r="28" customFormat="false" ht="36" hidden="false" customHeight="true" outlineLevel="0" collapsed="false">
      <c r="A28" s="11" t="n">
        <v>23</v>
      </c>
      <c r="B28" s="64" t="s">
        <v>156</v>
      </c>
      <c r="C28" s="11" t="s">
        <v>192</v>
      </c>
      <c r="D28" s="65" t="s">
        <v>193</v>
      </c>
      <c r="E28" s="66" t="s">
        <v>194</v>
      </c>
      <c r="F28" s="11" t="s">
        <v>64</v>
      </c>
      <c r="G28" s="17" t="e">
        <f aca="false">ROUND(5*$H$3,0)</f>
        <v>#VALUE!</v>
      </c>
      <c r="H28" s="16" t="e">
        <f aca="false">$C$3+G28</f>
        <v>#VALUE!</v>
      </c>
      <c r="I28" s="52"/>
      <c r="J28" s="53" t="n">
        <f aca="false">IF(I28="Complete",1,IF(I28="Skipped",1,IF(I28="Blocked",0.5,IF(I28="In Progress",0.25,0))))</f>
        <v>0</v>
      </c>
      <c r="K28" s="54"/>
      <c r="L28" s="55"/>
      <c r="M28" s="56"/>
      <c r="N28" s="57" t="str">
        <f aca="false">IF(M28="","",M28-H28)</f>
        <v/>
      </c>
      <c r="O28" s="58" t="str">
        <f aca="false">IF(M28="","",ABS(M28-H28)*24)</f>
        <v/>
      </c>
      <c r="P28" s="11"/>
      <c r="Q28" s="67" t="s">
        <v>195</v>
      </c>
      <c r="R28" s="67" t="s">
        <v>196</v>
      </c>
      <c r="S28" s="67" t="s">
        <v>197</v>
      </c>
    </row>
    <row r="29" customFormat="false" ht="36" hidden="false" customHeight="true" outlineLevel="0" collapsed="false">
      <c r="A29" s="23" t="n">
        <v>24</v>
      </c>
      <c r="B29" s="60" t="s">
        <v>156</v>
      </c>
      <c r="C29" s="23" t="s">
        <v>198</v>
      </c>
      <c r="D29" s="61" t="s">
        <v>199</v>
      </c>
      <c r="E29" s="62" t="s">
        <v>200</v>
      </c>
      <c r="F29" s="23" t="s">
        <v>64</v>
      </c>
      <c r="G29" s="26" t="e">
        <f aca="false">ROUND(5*$H$3,0)</f>
        <v>#VALUE!</v>
      </c>
      <c r="H29" s="25" t="e">
        <f aca="false">$C$3+G29</f>
        <v>#VALUE!</v>
      </c>
      <c r="I29" s="52"/>
      <c r="J29" s="53" t="n">
        <f aca="false">IF(I29="Complete",1,IF(I29="Skipped",1,IF(I29="Blocked",0.5,IF(I29="In Progress",0.25,0))))</f>
        <v>0</v>
      </c>
      <c r="K29" s="54"/>
      <c r="L29" s="55"/>
      <c r="M29" s="56"/>
      <c r="N29" s="57" t="str">
        <f aca="false">IF(M29="","",M29-H29)</f>
        <v/>
      </c>
      <c r="O29" s="58" t="str">
        <f aca="false">IF(M29="","",ABS(M29-H29)*24)</f>
        <v/>
      </c>
      <c r="P29" s="23"/>
      <c r="Q29" s="63" t="s">
        <v>201</v>
      </c>
      <c r="R29" s="63" t="s">
        <v>202</v>
      </c>
      <c r="S29" s="63" t="s">
        <v>203</v>
      </c>
    </row>
    <row r="30" customFormat="false" ht="36" hidden="false" customHeight="true" outlineLevel="0" collapsed="false">
      <c r="A30" s="11" t="n">
        <v>25</v>
      </c>
      <c r="B30" s="64" t="s">
        <v>156</v>
      </c>
      <c r="C30" s="11" t="s">
        <v>204</v>
      </c>
      <c r="D30" s="65" t="s">
        <v>205</v>
      </c>
      <c r="E30" s="66" t="s">
        <v>206</v>
      </c>
      <c r="F30" s="11" t="s">
        <v>64</v>
      </c>
      <c r="G30" s="17" t="e">
        <f aca="false">ROUND(5*$H$3,0)</f>
        <v>#VALUE!</v>
      </c>
      <c r="H30" s="16" t="e">
        <f aca="false">$C$3+G30</f>
        <v>#VALUE!</v>
      </c>
      <c r="I30" s="52"/>
      <c r="J30" s="53" t="n">
        <f aca="false">IF(I30="Complete",1,IF(I30="Skipped",1,IF(I30="Blocked",0.5,IF(I30="In Progress",0.25,0))))</f>
        <v>0</v>
      </c>
      <c r="K30" s="54"/>
      <c r="L30" s="55"/>
      <c r="M30" s="56"/>
      <c r="N30" s="57" t="str">
        <f aca="false">IF(M30="","",M30-H30)</f>
        <v/>
      </c>
      <c r="O30" s="58" t="str">
        <f aca="false">IF(M30="","",ABS(M30-H30)*24)</f>
        <v/>
      </c>
      <c r="P30" s="11"/>
      <c r="Q30" s="67" t="s">
        <v>207</v>
      </c>
      <c r="R30" s="67" t="s">
        <v>208</v>
      </c>
      <c r="S30" s="67" t="s">
        <v>209</v>
      </c>
    </row>
    <row r="31" customFormat="false" ht="36" hidden="false" customHeight="true" outlineLevel="0" collapsed="false">
      <c r="A31" s="46" t="n">
        <v>26</v>
      </c>
      <c r="B31" s="47" t="s">
        <v>210</v>
      </c>
      <c r="C31" s="46" t="s">
        <v>211</v>
      </c>
      <c r="D31" s="48" t="s">
        <v>212</v>
      </c>
      <c r="E31" s="49" t="s">
        <v>213</v>
      </c>
      <c r="F31" s="46" t="s">
        <v>214</v>
      </c>
      <c r="G31" s="50" t="e">
        <f aca="false">ROUND(6*$H$3,0)</f>
        <v>#VALUE!</v>
      </c>
      <c r="H31" s="51" t="e">
        <f aca="false">$C$3+G31</f>
        <v>#VALUE!</v>
      </c>
      <c r="I31" s="52"/>
      <c r="J31" s="53" t="n">
        <f aca="false">IF(I31="Complete",1,IF(I31="Skipped",1,IF(I31="Blocked",0.5,IF(I31="In Progress",0.25,0))))</f>
        <v>0</v>
      </c>
      <c r="K31" s="54"/>
      <c r="L31" s="55"/>
      <c r="M31" s="56"/>
      <c r="N31" s="57" t="str">
        <f aca="false">IF(M31="","",M31-H31)</f>
        <v/>
      </c>
      <c r="O31" s="58" t="str">
        <f aca="false">IF(M31="","",ABS(M31-H31)*24)</f>
        <v/>
      </c>
      <c r="P31" s="46"/>
      <c r="Q31" s="59" t="s">
        <v>215</v>
      </c>
      <c r="R31" s="59" t="s">
        <v>216</v>
      </c>
      <c r="S31" s="59" t="s">
        <v>217</v>
      </c>
    </row>
    <row r="32" customFormat="false" ht="36" hidden="false" customHeight="true" outlineLevel="0" collapsed="false">
      <c r="A32" s="11" t="n">
        <v>27</v>
      </c>
      <c r="B32" s="64" t="s">
        <v>210</v>
      </c>
      <c r="C32" s="11" t="s">
        <v>218</v>
      </c>
      <c r="D32" s="65" t="s">
        <v>219</v>
      </c>
      <c r="E32" s="66" t="s">
        <v>220</v>
      </c>
      <c r="F32" s="11" t="s">
        <v>214</v>
      </c>
      <c r="G32" s="17" t="e">
        <f aca="false">ROUND(6*$H$3,0)</f>
        <v>#VALUE!</v>
      </c>
      <c r="H32" s="16" t="e">
        <f aca="false">$C$3+G32</f>
        <v>#VALUE!</v>
      </c>
      <c r="I32" s="52"/>
      <c r="J32" s="53" t="n">
        <f aca="false">IF(I32="Complete",1,IF(I32="Skipped",1,IF(I32="Blocked",0.5,IF(I32="In Progress",0.25,0))))</f>
        <v>0</v>
      </c>
      <c r="K32" s="54"/>
      <c r="L32" s="55"/>
      <c r="M32" s="56"/>
      <c r="N32" s="57" t="str">
        <f aca="false">IF(M32="","",M32-H32)</f>
        <v/>
      </c>
      <c r="O32" s="58" t="str">
        <f aca="false">IF(M32="","",ABS(M32-H32)*24)</f>
        <v/>
      </c>
      <c r="P32" s="11"/>
      <c r="Q32" s="67" t="s">
        <v>221</v>
      </c>
      <c r="R32" s="67" t="s">
        <v>222</v>
      </c>
      <c r="S32" s="67" t="s">
        <v>223</v>
      </c>
    </row>
    <row r="33" customFormat="false" ht="36" hidden="false" customHeight="true" outlineLevel="0" collapsed="false">
      <c r="A33" s="23" t="n">
        <v>28</v>
      </c>
      <c r="B33" s="60" t="s">
        <v>210</v>
      </c>
      <c r="C33" s="23" t="s">
        <v>224</v>
      </c>
      <c r="D33" s="61" t="s">
        <v>225</v>
      </c>
      <c r="E33" s="62" t="s">
        <v>226</v>
      </c>
      <c r="F33" s="23" t="s">
        <v>64</v>
      </c>
      <c r="G33" s="26" t="e">
        <f aca="false">ROUND(7*$H$3,0)</f>
        <v>#VALUE!</v>
      </c>
      <c r="H33" s="25" t="e">
        <f aca="false">$C$3+G33</f>
        <v>#VALUE!</v>
      </c>
      <c r="I33" s="52"/>
      <c r="J33" s="53" t="n">
        <f aca="false">IF(I33="Complete",1,IF(I33="Skipped",1,IF(I33="Blocked",0.5,IF(I33="In Progress",0.25,0))))</f>
        <v>0</v>
      </c>
      <c r="K33" s="54"/>
      <c r="L33" s="55"/>
      <c r="M33" s="56"/>
      <c r="N33" s="57" t="str">
        <f aca="false">IF(M33="","",M33-H33)</f>
        <v/>
      </c>
      <c r="O33" s="58" t="str">
        <f aca="false">IF(M33="","",ABS(M33-H33)*24)</f>
        <v/>
      </c>
      <c r="P33" s="23"/>
      <c r="Q33" s="63" t="s">
        <v>227</v>
      </c>
      <c r="R33" s="63" t="s">
        <v>228</v>
      </c>
      <c r="S33" s="63" t="s">
        <v>229</v>
      </c>
    </row>
    <row r="34" customFormat="false" ht="36" hidden="false" customHeight="true" outlineLevel="0" collapsed="false">
      <c r="A34" s="11" t="n">
        <v>29</v>
      </c>
      <c r="B34" s="64" t="s">
        <v>210</v>
      </c>
      <c r="C34" s="11" t="s">
        <v>230</v>
      </c>
      <c r="D34" s="65" t="s">
        <v>231</v>
      </c>
      <c r="E34" s="66" t="s">
        <v>232</v>
      </c>
      <c r="F34" s="11" t="s">
        <v>214</v>
      </c>
      <c r="G34" s="17" t="e">
        <f aca="false">ROUND(8*$H$3,0)</f>
        <v>#VALUE!</v>
      </c>
      <c r="H34" s="16" t="e">
        <f aca="false">$C$3+G34</f>
        <v>#VALUE!</v>
      </c>
      <c r="I34" s="52"/>
      <c r="J34" s="53" t="n">
        <f aca="false">IF(I34="Complete",1,IF(I34="Skipped",1,IF(I34="Blocked",0.5,IF(I34="In Progress",0.25,0))))</f>
        <v>0</v>
      </c>
      <c r="K34" s="54"/>
      <c r="L34" s="55"/>
      <c r="M34" s="56"/>
      <c r="N34" s="57" t="str">
        <f aca="false">IF(M34="","",M34-H34)</f>
        <v/>
      </c>
      <c r="O34" s="58" t="str">
        <f aca="false">IF(M34="","",ABS(M34-H34)*24)</f>
        <v/>
      </c>
      <c r="P34" s="11"/>
      <c r="Q34" s="67" t="s">
        <v>233</v>
      </c>
      <c r="R34" s="67" t="s">
        <v>66</v>
      </c>
      <c r="S34" s="67" t="s">
        <v>234</v>
      </c>
    </row>
    <row r="35" customFormat="false" ht="36" hidden="false" customHeight="true" outlineLevel="0" collapsed="false">
      <c r="A35" s="23" t="n">
        <v>30</v>
      </c>
      <c r="B35" s="60" t="s">
        <v>210</v>
      </c>
      <c r="C35" s="23" t="s">
        <v>235</v>
      </c>
      <c r="D35" s="61" t="s">
        <v>236</v>
      </c>
      <c r="E35" s="62" t="s">
        <v>237</v>
      </c>
      <c r="F35" s="23" t="s">
        <v>114</v>
      </c>
      <c r="G35" s="26" t="e">
        <f aca="false">ROUND(8*$H$3,0)</f>
        <v>#VALUE!</v>
      </c>
      <c r="H35" s="25" t="e">
        <f aca="false">$C$3+G35</f>
        <v>#VALUE!</v>
      </c>
      <c r="I35" s="52"/>
      <c r="J35" s="53" t="n">
        <f aca="false">IF(I35="Complete",1,IF(I35="Skipped",1,IF(I35="Blocked",0.5,IF(I35="In Progress",0.25,0))))</f>
        <v>0</v>
      </c>
      <c r="K35" s="54"/>
      <c r="L35" s="55"/>
      <c r="M35" s="56"/>
      <c r="N35" s="57" t="str">
        <f aca="false">IF(M35="","",M35-H35)</f>
        <v/>
      </c>
      <c r="O35" s="58" t="str">
        <f aca="false">IF(M35="","",ABS(M35-H35)*24)</f>
        <v/>
      </c>
      <c r="P35" s="23"/>
      <c r="Q35" s="63" t="s">
        <v>238</v>
      </c>
      <c r="R35" s="63" t="s">
        <v>239</v>
      </c>
      <c r="S35" s="63"/>
    </row>
    <row r="36" customFormat="false" ht="36" hidden="false" customHeight="true" outlineLevel="0" collapsed="false">
      <c r="A36" s="46" t="n">
        <v>31</v>
      </c>
      <c r="B36" s="47" t="s">
        <v>240</v>
      </c>
      <c r="C36" s="46" t="s">
        <v>241</v>
      </c>
      <c r="D36" s="48" t="s">
        <v>242</v>
      </c>
      <c r="E36" s="49" t="s">
        <v>243</v>
      </c>
      <c r="F36" s="46" t="s">
        <v>64</v>
      </c>
      <c r="G36" s="50" t="e">
        <f aca="false">ROUND(9*$H$3,0)</f>
        <v>#VALUE!</v>
      </c>
      <c r="H36" s="51" t="e">
        <f aca="false">$C$3+G36</f>
        <v>#VALUE!</v>
      </c>
      <c r="I36" s="52"/>
      <c r="J36" s="53" t="n">
        <f aca="false">IF(I36="Complete",1,IF(I36="Skipped",1,IF(I36="Blocked",0.5,IF(I36="In Progress",0.25,0))))</f>
        <v>0</v>
      </c>
      <c r="K36" s="54"/>
      <c r="L36" s="55"/>
      <c r="M36" s="56"/>
      <c r="N36" s="57" t="str">
        <f aca="false">IF(M36="","",M36-H36)</f>
        <v/>
      </c>
      <c r="O36" s="58" t="str">
        <f aca="false">IF(M36="","",ABS(M36-H36)*24)</f>
        <v/>
      </c>
      <c r="P36" s="46"/>
      <c r="Q36" s="59" t="s">
        <v>244</v>
      </c>
      <c r="R36" s="59" t="s">
        <v>245</v>
      </c>
      <c r="S36" s="59" t="s">
        <v>246</v>
      </c>
    </row>
    <row r="37" customFormat="false" ht="36" hidden="false" customHeight="true" outlineLevel="0" collapsed="false">
      <c r="A37" s="23" t="n">
        <v>32</v>
      </c>
      <c r="B37" s="60" t="s">
        <v>240</v>
      </c>
      <c r="C37" s="23" t="s">
        <v>247</v>
      </c>
      <c r="D37" s="61" t="s">
        <v>248</v>
      </c>
      <c r="E37" s="62" t="s">
        <v>249</v>
      </c>
      <c r="F37" s="23" t="s">
        <v>114</v>
      </c>
      <c r="G37" s="26" t="e">
        <f aca="false">ROUND(10*$H$3,0)</f>
        <v>#VALUE!</v>
      </c>
      <c r="H37" s="25" t="e">
        <f aca="false">$C$3+G37</f>
        <v>#VALUE!</v>
      </c>
      <c r="I37" s="52"/>
      <c r="J37" s="53" t="n">
        <f aca="false">IF(I37="Complete",1,IF(I37="Skipped",1,IF(I37="Blocked",0.5,IF(I37="In Progress",0.25,0))))</f>
        <v>0</v>
      </c>
      <c r="K37" s="54"/>
      <c r="L37" s="55"/>
      <c r="M37" s="56"/>
      <c r="N37" s="57" t="str">
        <f aca="false">IF(M37="","",M37-H37)</f>
        <v/>
      </c>
      <c r="O37" s="58" t="str">
        <f aca="false">IF(M37="","",ABS(M37-H37)*24)</f>
        <v/>
      </c>
      <c r="P37" s="23"/>
      <c r="Q37" s="63" t="s">
        <v>250</v>
      </c>
      <c r="R37" s="63" t="s">
        <v>251</v>
      </c>
      <c r="S37" s="63"/>
    </row>
    <row r="38" customFormat="false" ht="36" hidden="false" customHeight="true" outlineLevel="0" collapsed="false">
      <c r="A38" s="11" t="n">
        <v>33</v>
      </c>
      <c r="B38" s="64" t="s">
        <v>240</v>
      </c>
      <c r="C38" s="11" t="s">
        <v>252</v>
      </c>
      <c r="D38" s="65" t="s">
        <v>253</v>
      </c>
      <c r="E38" s="66" t="s">
        <v>254</v>
      </c>
      <c r="F38" s="11" t="s">
        <v>152</v>
      </c>
      <c r="G38" s="17" t="e">
        <f aca="false">ROUND(10*$H$3,0)</f>
        <v>#VALUE!</v>
      </c>
      <c r="H38" s="16" t="e">
        <f aca="false">$C$3+G38</f>
        <v>#VALUE!</v>
      </c>
      <c r="I38" s="52"/>
      <c r="J38" s="53" t="n">
        <f aca="false">IF(I38="Complete",1,IF(I38="Skipped",1,IF(I38="Blocked",0.5,IF(I38="In Progress",0.25,0))))</f>
        <v>0</v>
      </c>
      <c r="K38" s="54"/>
      <c r="L38" s="55"/>
      <c r="M38" s="56"/>
      <c r="N38" s="57" t="str">
        <f aca="false">IF(M38="","",M38-H38)</f>
        <v/>
      </c>
      <c r="O38" s="58" t="str">
        <f aca="false">IF(M38="","",ABS(M38-H38)*24)</f>
        <v/>
      </c>
      <c r="P38" s="11"/>
      <c r="Q38" s="67" t="s">
        <v>255</v>
      </c>
      <c r="R38" s="67" t="s">
        <v>256</v>
      </c>
      <c r="S38" s="67" t="s">
        <v>257</v>
      </c>
    </row>
    <row r="39" customFormat="false" ht="36" hidden="false" customHeight="true" outlineLevel="0" collapsed="false">
      <c r="A39" s="23" t="n">
        <v>34</v>
      </c>
      <c r="B39" s="60" t="s">
        <v>240</v>
      </c>
      <c r="C39" s="23" t="s">
        <v>258</v>
      </c>
      <c r="D39" s="61" t="s">
        <v>259</v>
      </c>
      <c r="E39" s="62" t="s">
        <v>260</v>
      </c>
      <c r="F39" s="23" t="s">
        <v>64</v>
      </c>
      <c r="G39" s="26" t="e">
        <f aca="false">ROUND(10*$H$3,0)</f>
        <v>#VALUE!</v>
      </c>
      <c r="H39" s="25" t="e">
        <f aca="false">$C$3+G39</f>
        <v>#VALUE!</v>
      </c>
      <c r="I39" s="52"/>
      <c r="J39" s="53" t="n">
        <f aca="false">IF(I39="Complete",1,IF(I39="Skipped",1,IF(I39="Blocked",0.5,IF(I39="In Progress",0.25,0))))</f>
        <v>0</v>
      </c>
      <c r="K39" s="54"/>
      <c r="L39" s="55"/>
      <c r="M39" s="56"/>
      <c r="N39" s="57" t="str">
        <f aca="false">IF(M39="","",M39-H39)</f>
        <v/>
      </c>
      <c r="O39" s="58" t="str">
        <f aca="false">IF(M39="","",ABS(M39-H39)*24)</f>
        <v/>
      </c>
      <c r="P39" s="23"/>
      <c r="Q39" s="63" t="s">
        <v>261</v>
      </c>
      <c r="R39" s="63" t="s">
        <v>262</v>
      </c>
      <c r="S39" s="63"/>
    </row>
    <row r="40" customFormat="false" ht="36" hidden="false" customHeight="true" outlineLevel="0" collapsed="false">
      <c r="A40" s="46" t="n">
        <v>35</v>
      </c>
      <c r="B40" s="47" t="s">
        <v>263</v>
      </c>
      <c r="C40" s="46" t="s">
        <v>264</v>
      </c>
      <c r="D40" s="48" t="s">
        <v>265</v>
      </c>
      <c r="E40" s="49" t="s">
        <v>266</v>
      </c>
      <c r="F40" s="46" t="s">
        <v>64</v>
      </c>
      <c r="G40" s="50" t="e">
        <f aca="false">ROUND(10*$H$3,0)</f>
        <v>#VALUE!</v>
      </c>
      <c r="H40" s="51" t="e">
        <f aca="false">$C$3+G40</f>
        <v>#VALUE!</v>
      </c>
      <c r="I40" s="52"/>
      <c r="J40" s="53" t="n">
        <f aca="false">IF(I40="Complete",1,IF(I40="Skipped",1,IF(I40="Blocked",0.5,IF(I40="In Progress",0.25,0))))</f>
        <v>0</v>
      </c>
      <c r="K40" s="54"/>
      <c r="L40" s="55"/>
      <c r="M40" s="56"/>
      <c r="N40" s="57" t="str">
        <f aca="false">IF(M40="","",M40-H40)</f>
        <v/>
      </c>
      <c r="O40" s="58" t="str">
        <f aca="false">IF(M40="","",ABS(M40-H40)*24)</f>
        <v/>
      </c>
      <c r="P40" s="46"/>
      <c r="Q40" s="59" t="s">
        <v>267</v>
      </c>
      <c r="R40" s="59" t="s">
        <v>268</v>
      </c>
      <c r="S40" s="59" t="s">
        <v>269</v>
      </c>
    </row>
    <row r="41" customFormat="false" ht="36" hidden="false" customHeight="true" outlineLevel="0" collapsed="false">
      <c r="A41" s="46" t="n">
        <v>36</v>
      </c>
      <c r="B41" s="47" t="s">
        <v>270</v>
      </c>
      <c r="C41" s="46" t="s">
        <v>271</v>
      </c>
      <c r="D41" s="48" t="s">
        <v>272</v>
      </c>
      <c r="E41" s="49" t="s">
        <v>273</v>
      </c>
      <c r="F41" s="46" t="s">
        <v>214</v>
      </c>
      <c r="G41" s="50" t="e">
        <f aca="false">ROUND(11*$H$3,0)</f>
        <v>#VALUE!</v>
      </c>
      <c r="H41" s="51" t="e">
        <f aca="false">$C$3+G41</f>
        <v>#VALUE!</v>
      </c>
      <c r="I41" s="52"/>
      <c r="J41" s="53" t="n">
        <f aca="false">IF(I41="Complete",1,IF(I41="Skipped",1,IF(I41="Blocked",0.5,IF(I41="In Progress",0.25,0))))</f>
        <v>0</v>
      </c>
      <c r="K41" s="54"/>
      <c r="L41" s="55"/>
      <c r="M41" s="56"/>
      <c r="N41" s="57" t="str">
        <f aca="false">IF(M41="","",M41-H41)</f>
        <v/>
      </c>
      <c r="O41" s="58" t="str">
        <f aca="false">IF(M41="","",ABS(M41-H41)*24)</f>
        <v/>
      </c>
      <c r="P41" s="46"/>
      <c r="Q41" s="59" t="s">
        <v>274</v>
      </c>
      <c r="R41" s="59" t="s">
        <v>275</v>
      </c>
      <c r="S41" s="59" t="s">
        <v>276</v>
      </c>
    </row>
    <row r="42" customFormat="false" ht="36" hidden="false" customHeight="true" outlineLevel="0" collapsed="false">
      <c r="A42" s="11" t="n">
        <v>37</v>
      </c>
      <c r="B42" s="64" t="s">
        <v>270</v>
      </c>
      <c r="C42" s="11" t="s">
        <v>277</v>
      </c>
      <c r="D42" s="65" t="s">
        <v>278</v>
      </c>
      <c r="E42" s="66" t="s">
        <v>279</v>
      </c>
      <c r="F42" s="11" t="s">
        <v>64</v>
      </c>
      <c r="G42" s="17" t="e">
        <f aca="false">ROUND(11*$H$3,0)</f>
        <v>#VALUE!</v>
      </c>
      <c r="H42" s="16" t="e">
        <f aca="false">$C$3+G42</f>
        <v>#VALUE!</v>
      </c>
      <c r="I42" s="52"/>
      <c r="J42" s="53" t="n">
        <f aca="false">IF(I42="Complete",1,IF(I42="Skipped",1,IF(I42="Blocked",0.5,IF(I42="In Progress",0.25,0))))</f>
        <v>0</v>
      </c>
      <c r="K42" s="54"/>
      <c r="L42" s="55"/>
      <c r="M42" s="56"/>
      <c r="N42" s="57" t="str">
        <f aca="false">IF(M42="","",M42-H42)</f>
        <v/>
      </c>
      <c r="O42" s="58" t="str">
        <f aca="false">IF(M42="","",ABS(M42-H42)*24)</f>
        <v/>
      </c>
      <c r="P42" s="11"/>
      <c r="Q42" s="67" t="s">
        <v>280</v>
      </c>
      <c r="R42" s="67" t="s">
        <v>281</v>
      </c>
      <c r="S42" s="67" t="s">
        <v>282</v>
      </c>
    </row>
    <row r="43" customFormat="false" ht="36" hidden="false" customHeight="true" outlineLevel="0" collapsed="false">
      <c r="A43" s="23" t="n">
        <v>38</v>
      </c>
      <c r="B43" s="60" t="s">
        <v>270</v>
      </c>
      <c r="C43" s="23" t="s">
        <v>283</v>
      </c>
      <c r="D43" s="61" t="s">
        <v>284</v>
      </c>
      <c r="E43" s="62" t="s">
        <v>285</v>
      </c>
      <c r="F43" s="23" t="s">
        <v>114</v>
      </c>
      <c r="G43" s="26" t="e">
        <f aca="false">ROUND(11*$H$3,0)</f>
        <v>#VALUE!</v>
      </c>
      <c r="H43" s="25" t="e">
        <f aca="false">$C$3+G43</f>
        <v>#VALUE!</v>
      </c>
      <c r="I43" s="52"/>
      <c r="J43" s="53" t="n">
        <f aca="false">IF(I43="Complete",1,IF(I43="Skipped",1,IF(I43="Blocked",0.5,IF(I43="In Progress",0.25,0))))</f>
        <v>0</v>
      </c>
      <c r="K43" s="54"/>
      <c r="L43" s="55"/>
      <c r="M43" s="56"/>
      <c r="N43" s="57" t="str">
        <f aca="false">IF(M43="","",M43-H43)</f>
        <v/>
      </c>
      <c r="O43" s="58" t="str">
        <f aca="false">IF(M43="","",ABS(M43-H43)*24)</f>
        <v/>
      </c>
      <c r="P43" s="23"/>
      <c r="Q43" s="63" t="s">
        <v>286</v>
      </c>
      <c r="R43" s="63" t="s">
        <v>287</v>
      </c>
      <c r="S43" s="63"/>
    </row>
    <row r="44" customFormat="false" ht="36" hidden="false" customHeight="true" outlineLevel="0" collapsed="false">
      <c r="A44" s="46" t="n">
        <v>39</v>
      </c>
      <c r="B44" s="47" t="s">
        <v>288</v>
      </c>
      <c r="C44" s="46" t="s">
        <v>289</v>
      </c>
      <c r="D44" s="48" t="s">
        <v>290</v>
      </c>
      <c r="E44" s="49" t="s">
        <v>291</v>
      </c>
      <c r="F44" s="46" t="s">
        <v>64</v>
      </c>
      <c r="G44" s="50" t="e">
        <f aca="false">ROUND(12*$H$3,0)</f>
        <v>#VALUE!</v>
      </c>
      <c r="H44" s="51" t="e">
        <f aca="false">$C$3+G44</f>
        <v>#VALUE!</v>
      </c>
      <c r="I44" s="52"/>
      <c r="J44" s="53" t="n">
        <f aca="false">IF(I44="Complete",1,IF(I44="Skipped",1,IF(I44="Blocked",0.5,IF(I44="In Progress",0.25,0))))</f>
        <v>0</v>
      </c>
      <c r="K44" s="54"/>
      <c r="L44" s="55"/>
      <c r="M44" s="56"/>
      <c r="N44" s="57" t="str">
        <f aca="false">IF(M44="","",M44-H44)</f>
        <v/>
      </c>
      <c r="O44" s="58" t="str">
        <f aca="false">IF(M44="","",ABS(M44-H44)*24)</f>
        <v/>
      </c>
      <c r="P44" s="46"/>
      <c r="Q44" s="59" t="s">
        <v>292</v>
      </c>
      <c r="R44" s="59" t="s">
        <v>293</v>
      </c>
      <c r="S44" s="59" t="s">
        <v>294</v>
      </c>
    </row>
    <row r="45" customFormat="false" ht="36" hidden="false" customHeight="true" outlineLevel="0" collapsed="false">
      <c r="A45" s="23" t="n">
        <v>40</v>
      </c>
      <c r="B45" s="60" t="s">
        <v>288</v>
      </c>
      <c r="C45" s="23" t="s">
        <v>295</v>
      </c>
      <c r="D45" s="61" t="s">
        <v>296</v>
      </c>
      <c r="E45" s="62" t="s">
        <v>297</v>
      </c>
      <c r="F45" s="23" t="s">
        <v>64</v>
      </c>
      <c r="G45" s="26" t="e">
        <f aca="false">ROUND(12*$H$3,0)</f>
        <v>#VALUE!</v>
      </c>
      <c r="H45" s="25" t="e">
        <f aca="false">$C$3+G45</f>
        <v>#VALUE!</v>
      </c>
      <c r="I45" s="52"/>
      <c r="J45" s="53" t="n">
        <f aca="false">IF(I45="Complete",1,IF(I45="Skipped",1,IF(I45="Blocked",0.5,IF(I45="In Progress",0.25,0))))</f>
        <v>0</v>
      </c>
      <c r="K45" s="54"/>
      <c r="L45" s="55"/>
      <c r="M45" s="56"/>
      <c r="N45" s="57" t="str">
        <f aca="false">IF(M45="","",M45-H45)</f>
        <v/>
      </c>
      <c r="O45" s="58" t="str">
        <f aca="false">IF(M45="","",ABS(M45-H45)*24)</f>
        <v/>
      </c>
      <c r="P45" s="23"/>
      <c r="Q45" s="63" t="s">
        <v>298</v>
      </c>
      <c r="R45" s="63" t="s">
        <v>299</v>
      </c>
      <c r="S45" s="63" t="s">
        <v>300</v>
      </c>
    </row>
    <row r="46" customFormat="false" ht="36" hidden="false" customHeight="true" outlineLevel="0" collapsed="false">
      <c r="A46" s="11" t="n">
        <v>41</v>
      </c>
      <c r="B46" s="64" t="s">
        <v>288</v>
      </c>
      <c r="C46" s="11" t="s">
        <v>301</v>
      </c>
      <c r="D46" s="65" t="s">
        <v>302</v>
      </c>
      <c r="E46" s="66" t="s">
        <v>303</v>
      </c>
      <c r="F46" s="11" t="s">
        <v>114</v>
      </c>
      <c r="G46" s="17" t="e">
        <f aca="false">ROUND(12*$H$3,0)</f>
        <v>#VALUE!</v>
      </c>
      <c r="H46" s="16" t="e">
        <f aca="false">$C$3+G46</f>
        <v>#VALUE!</v>
      </c>
      <c r="I46" s="52"/>
      <c r="J46" s="53" t="n">
        <f aca="false">IF(I46="Complete",1,IF(I46="Skipped",1,IF(I46="Blocked",0.5,IF(I46="In Progress",0.25,0))))</f>
        <v>0</v>
      </c>
      <c r="K46" s="54"/>
      <c r="L46" s="55"/>
      <c r="M46" s="56"/>
      <c r="N46" s="57" t="str">
        <f aca="false">IF(M46="","",M46-H46)</f>
        <v/>
      </c>
      <c r="O46" s="58" t="str">
        <f aca="false">IF(M46="","",ABS(M46-H46)*24)</f>
        <v/>
      </c>
      <c r="P46" s="11"/>
      <c r="Q46" s="67" t="s">
        <v>304</v>
      </c>
      <c r="R46" s="67" t="s">
        <v>305</v>
      </c>
      <c r="S46" s="67" t="s">
        <v>306</v>
      </c>
    </row>
    <row r="47" customFormat="false" ht="36" hidden="false" customHeight="true" outlineLevel="0" collapsed="false">
      <c r="A47" s="23" t="n">
        <v>42</v>
      </c>
      <c r="B47" s="60" t="s">
        <v>288</v>
      </c>
      <c r="C47" s="23" t="s">
        <v>307</v>
      </c>
      <c r="D47" s="61" t="s">
        <v>308</v>
      </c>
      <c r="E47" s="62" t="s">
        <v>309</v>
      </c>
      <c r="F47" s="23" t="s">
        <v>64</v>
      </c>
      <c r="G47" s="26" t="e">
        <f aca="false">ROUND(13*$H$3,0)</f>
        <v>#VALUE!</v>
      </c>
      <c r="H47" s="25" t="e">
        <f aca="false">$C$3+G47</f>
        <v>#VALUE!</v>
      </c>
      <c r="I47" s="52"/>
      <c r="J47" s="53" t="n">
        <f aca="false">IF(I47="Complete",1,IF(I47="Skipped",1,IF(I47="Blocked",0.5,IF(I47="In Progress",0.25,0))))</f>
        <v>0</v>
      </c>
      <c r="K47" s="54"/>
      <c r="L47" s="55"/>
      <c r="M47" s="56"/>
      <c r="N47" s="57" t="str">
        <f aca="false">IF(M47="","",M47-H47)</f>
        <v/>
      </c>
      <c r="O47" s="58" t="str">
        <f aca="false">IF(M47="","",ABS(M47-H47)*24)</f>
        <v/>
      </c>
      <c r="P47" s="23"/>
      <c r="Q47" s="63" t="s">
        <v>310</v>
      </c>
      <c r="R47" s="63" t="s">
        <v>311</v>
      </c>
      <c r="S47" s="63" t="s">
        <v>312</v>
      </c>
    </row>
    <row r="48" customFormat="false" ht="36" hidden="false" customHeight="true" outlineLevel="0" collapsed="false">
      <c r="A48" s="11" t="n">
        <v>43</v>
      </c>
      <c r="B48" s="64" t="s">
        <v>288</v>
      </c>
      <c r="C48" s="11" t="s">
        <v>313</v>
      </c>
      <c r="D48" s="65" t="s">
        <v>314</v>
      </c>
      <c r="E48" s="66" t="s">
        <v>315</v>
      </c>
      <c r="F48" s="11" t="s">
        <v>214</v>
      </c>
      <c r="G48" s="17" t="e">
        <f aca="false">ROUND(13*$H$3,0)</f>
        <v>#VALUE!</v>
      </c>
      <c r="H48" s="16" t="e">
        <f aca="false">$C$3+G48</f>
        <v>#VALUE!</v>
      </c>
      <c r="I48" s="52"/>
      <c r="J48" s="53" t="n">
        <f aca="false">IF(I48="Complete",1,IF(I48="Skipped",1,IF(I48="Blocked",0.5,IF(I48="In Progress",0.25,0))))</f>
        <v>0</v>
      </c>
      <c r="K48" s="54"/>
      <c r="L48" s="55"/>
      <c r="M48" s="56"/>
      <c r="N48" s="57" t="str">
        <f aca="false">IF(M48="","",M48-H48)</f>
        <v/>
      </c>
      <c r="O48" s="58" t="str">
        <f aca="false">IF(M48="","",ABS(M48-H48)*24)</f>
        <v/>
      </c>
      <c r="P48" s="11"/>
      <c r="Q48" s="67" t="s">
        <v>316</v>
      </c>
      <c r="R48" s="67" t="s">
        <v>317</v>
      </c>
      <c r="S48" s="67" t="s">
        <v>318</v>
      </c>
    </row>
    <row r="49" customFormat="false" ht="36" hidden="false" customHeight="true" outlineLevel="0" collapsed="false">
      <c r="A49" s="23" t="n">
        <v>44</v>
      </c>
      <c r="B49" s="60" t="s">
        <v>288</v>
      </c>
      <c r="C49" s="23" t="s">
        <v>319</v>
      </c>
      <c r="D49" s="61" t="s">
        <v>320</v>
      </c>
      <c r="E49" s="62" t="s">
        <v>321</v>
      </c>
      <c r="F49" s="23" t="s">
        <v>64</v>
      </c>
      <c r="G49" s="26" t="e">
        <f aca="false">ROUND(14*$H$3,0)</f>
        <v>#VALUE!</v>
      </c>
      <c r="H49" s="25" t="e">
        <f aca="false">$C$3+G49</f>
        <v>#VALUE!</v>
      </c>
      <c r="I49" s="52"/>
      <c r="J49" s="53" t="n">
        <f aca="false">IF(I49="Complete",1,IF(I49="Skipped",1,IF(I49="Blocked",0.5,IF(I49="In Progress",0.25,0))))</f>
        <v>0</v>
      </c>
      <c r="K49" s="54"/>
      <c r="L49" s="55"/>
      <c r="M49" s="56"/>
      <c r="N49" s="57" t="str">
        <f aca="false">IF(M49="","",M49-H49)</f>
        <v/>
      </c>
      <c r="O49" s="58" t="str">
        <f aca="false">IF(M49="","",ABS(M49-H49)*24)</f>
        <v/>
      </c>
      <c r="P49" s="23"/>
      <c r="Q49" s="63" t="s">
        <v>322</v>
      </c>
      <c r="R49" s="63" t="s">
        <v>323</v>
      </c>
      <c r="S49" s="63" t="s">
        <v>324</v>
      </c>
    </row>
    <row r="50" customFormat="false" ht="36" hidden="false" customHeight="true" outlineLevel="0" collapsed="false">
      <c r="A50" s="11" t="n">
        <v>45</v>
      </c>
      <c r="B50" s="64" t="s">
        <v>288</v>
      </c>
      <c r="C50" s="11" t="s">
        <v>325</v>
      </c>
      <c r="D50" s="65" t="s">
        <v>326</v>
      </c>
      <c r="E50" s="66" t="s">
        <v>327</v>
      </c>
      <c r="F50" s="11" t="s">
        <v>64</v>
      </c>
      <c r="G50" s="17" t="e">
        <f aca="false">ROUND(14*$H$3,0)</f>
        <v>#VALUE!</v>
      </c>
      <c r="H50" s="16" t="e">
        <f aca="false">$C$3+G50</f>
        <v>#VALUE!</v>
      </c>
      <c r="I50" s="52"/>
      <c r="J50" s="53" t="n">
        <f aca="false">IF(I50="Complete",1,IF(I50="Skipped",1,IF(I50="Blocked",0.5,IF(I50="In Progress",0.25,0))))</f>
        <v>0</v>
      </c>
      <c r="K50" s="54"/>
      <c r="L50" s="55"/>
      <c r="M50" s="56"/>
      <c r="N50" s="57" t="str">
        <f aca="false">IF(M50="","",M50-H50)</f>
        <v/>
      </c>
      <c r="O50" s="58" t="str">
        <f aca="false">IF(M50="","",ABS(M50-H50)*24)</f>
        <v/>
      </c>
      <c r="P50" s="11"/>
      <c r="Q50" s="67" t="s">
        <v>328</v>
      </c>
      <c r="R50" s="67" t="s">
        <v>66</v>
      </c>
      <c r="S50" s="67" t="s">
        <v>329</v>
      </c>
    </row>
    <row r="51" customFormat="false" ht="36" hidden="false" customHeight="true" outlineLevel="0" collapsed="false">
      <c r="A51" s="23" t="n">
        <v>46</v>
      </c>
      <c r="B51" s="60" t="s">
        <v>288</v>
      </c>
      <c r="C51" s="23" t="s">
        <v>330</v>
      </c>
      <c r="D51" s="61" t="s">
        <v>331</v>
      </c>
      <c r="E51" s="62" t="s">
        <v>332</v>
      </c>
      <c r="F51" s="23" t="s">
        <v>114</v>
      </c>
      <c r="G51" s="26" t="e">
        <f aca="false">ROUND(14*$H$3,0)</f>
        <v>#VALUE!</v>
      </c>
      <c r="H51" s="25" t="e">
        <f aca="false">$C$3+G51</f>
        <v>#VALUE!</v>
      </c>
      <c r="I51" s="52"/>
      <c r="J51" s="53" t="n">
        <f aca="false">IF(I51="Complete",1,IF(I51="Skipped",1,IF(I51="Blocked",0.5,IF(I51="In Progress",0.25,0))))</f>
        <v>0</v>
      </c>
      <c r="K51" s="54"/>
      <c r="L51" s="55"/>
      <c r="M51" s="56"/>
      <c r="N51" s="57" t="str">
        <f aca="false">IF(M51="","",M51-H51)</f>
        <v/>
      </c>
      <c r="O51" s="58" t="str">
        <f aca="false">IF(M51="","",ABS(M51-H51)*24)</f>
        <v/>
      </c>
      <c r="P51" s="23"/>
      <c r="Q51" s="63" t="s">
        <v>333</v>
      </c>
      <c r="R51" s="63" t="s">
        <v>116</v>
      </c>
      <c r="S51" s="63" t="s">
        <v>334</v>
      </c>
    </row>
    <row r="53" customFormat="false" ht="15" hidden="false" customHeight="true" outlineLevel="0" collapsed="false">
      <c r="A53" s="9" t="s">
        <v>335</v>
      </c>
      <c r="B53" s="9"/>
      <c r="C53" s="9"/>
      <c r="D53" s="9"/>
      <c r="E53" s="9"/>
      <c r="F53" s="9"/>
      <c r="G53" s="31"/>
      <c r="H53" s="31"/>
      <c r="I53" s="68" t="s">
        <v>336</v>
      </c>
      <c r="J53" s="69" t="n">
        <f aca="false">AVERAGE(J6:J51)</f>
        <v>0</v>
      </c>
      <c r="K53" s="31"/>
      <c r="L53" s="68" t="s">
        <v>337</v>
      </c>
      <c r="M53" s="9" t="n">
        <f aca="false">SUMPRODUCT((M6:M51&lt;&gt;"")*1)</f>
        <v>0</v>
      </c>
      <c r="N53" s="31"/>
      <c r="O53" s="33" t="n">
        <f aca="false">SUM(O6:O51)</f>
        <v>0</v>
      </c>
      <c r="P53" s="31"/>
      <c r="Q53" s="31"/>
      <c r="R53" s="31"/>
      <c r="S53" s="31"/>
    </row>
    <row r="54" customFormat="false" ht="15" hidden="false" customHeight="false" outlineLevel="0" collapsed="false">
      <c r="M54" s="70" t="s">
        <v>338</v>
      </c>
      <c r="N54" s="71" t="str">
        <f aca="false">IFERROR(AVERAGE(N6:N51),"")</f>
        <v/>
      </c>
    </row>
    <row r="55" customFormat="false" ht="15" hidden="false" customHeight="false" outlineLevel="0" collapsed="false">
      <c r="M55" s="70" t="s">
        <v>339</v>
      </c>
      <c r="N55" s="72" t="n">
        <f aca="false">IFERROR(MAX(N6:N51),"")</f>
        <v>0</v>
      </c>
    </row>
  </sheetData>
  <autoFilter ref="A5:S5"/>
  <mergeCells count="5">
    <mergeCell ref="A1:S1"/>
    <mergeCell ref="A3:B3"/>
    <mergeCell ref="E3:F3"/>
    <mergeCell ref="I3:J3"/>
    <mergeCell ref="A53:F53"/>
  </mergeCells>
  <conditionalFormatting sqref="I6:I51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0">
      <formula>"Skipped"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2">
      <formula>"In Progress"</formula>
    </cfRule>
  </conditionalFormatting>
  <conditionalFormatting sqref="J6:J51">
    <cfRule type="expression" priority="6" aboveAverage="0" equalAverage="0" bottom="0" percent="0" rank="0" text="" dxfId="14">
      <formula>$J6=1</formula>
    </cfRule>
    <cfRule type="expression" priority="7" aboveAverage="0" equalAverage="0" bottom="0" percent="0" rank="0" text="" dxfId="15">
      <formula>$J6&gt;=0.5</formula>
    </cfRule>
    <cfRule type="expression" priority="8" aboveAverage="0" equalAverage="0" bottom="0" percent="0" rank="0" text="" dxfId="16">
      <formula>$J6&gt;=0.25</formula>
    </cfRule>
  </conditionalFormatting>
  <conditionalFormatting sqref="K6:K51">
    <cfRule type="expression" priority="9" aboveAverage="0" equalAverage="0" bottom="0" percent="0" rank="0" text="" dxfId="17">
      <formula>AND($I6="Complete",$K6="")</formula>
    </cfRule>
    <cfRule type="expression" priority="10" aboveAverage="0" equalAverage="0" bottom="0" percent="0" rank="0" text="" dxfId="14">
      <formula>AND(OR($I6="Complete",$I6="Skipped"),$K6&lt;&gt;"")</formula>
    </cfRule>
  </conditionalFormatting>
  <conditionalFormatting sqref="L6:L51">
    <cfRule type="expression" priority="11" aboveAverage="0" equalAverage="0" bottom="0" percent="0" rank="0" text="" dxfId="17">
      <formula>AND($I6="Complete",$L6="")</formula>
    </cfRule>
    <cfRule type="expression" priority="12" aboveAverage="0" equalAverage="0" bottom="0" percent="0" rank="0" text="" dxfId="18">
      <formula>AND($I6="In Progress",$L6="")</formula>
    </cfRule>
  </conditionalFormatting>
  <conditionalFormatting sqref="M6:M51">
    <cfRule type="expression" priority="13" aboveAverage="0" equalAverage="0" bottom="0" percent="0" rank="0" text="" dxfId="17">
      <formula>AND($I6="Complete",$M6="")</formula>
    </cfRule>
    <cfRule type="expression" priority="14" aboveAverage="0" equalAverage="0" bottom="0" percent="0" rank="0" text="" dxfId="14">
      <formula>AND($I6="Complete",$M6&lt;&gt;"")</formula>
    </cfRule>
  </conditionalFormatting>
  <conditionalFormatting sqref="A6:S51">
    <cfRule type="expression" priority="15" aboveAverage="0" equalAverage="0" bottom="0" percent="0" rank="0" text="" dxfId="19">
      <formula>AND($M6&lt;&gt;"",$N6&gt;=5)</formula>
    </cfRule>
    <cfRule type="expression" priority="16" aboveAverage="0" equalAverage="0" bottom="0" percent="0" rank="0" text="" dxfId="19">
      <formula>AND($M6&lt;&gt;"",$N6&gt;=4)</formula>
    </cfRule>
    <cfRule type="expression" priority="17" aboveAverage="0" equalAverage="0" bottom="0" percent="0" rank="0" text="" dxfId="20">
      <formula>AND($M6&lt;&gt;"",$N6&gt;=3)</formula>
    </cfRule>
    <cfRule type="expression" priority="18" aboveAverage="0" equalAverage="0" bottom="0" percent="0" rank="0" text="" dxfId="20">
      <formula>AND($M6&lt;&gt;"",$N6&gt;=2)</formula>
    </cfRule>
    <cfRule type="expression" priority="19" aboveAverage="0" equalAverage="0" bottom="0" percent="0" rank="0" text="" dxfId="21">
      <formula>AND($M6&lt;&gt;"",$N6&gt;=1)</formula>
    </cfRule>
    <cfRule type="expression" priority="20" aboveAverage="0" equalAverage="0" bottom="0" percent="0" rank="0" text="" dxfId="22">
      <formula>AND($M6&lt;&gt;"",$N6&lt;=0)</formula>
    </cfRule>
  </conditionalFormatting>
  <conditionalFormatting sqref="N6:N51">
    <cfRule type="expression" priority="21" aboveAverage="0" equalAverage="0" bottom="0" percent="0" rank="0" text="" dxfId="23">
      <formula>AND($M6&lt;&gt;"",$N6&gt;=5)</formula>
    </cfRule>
    <cfRule type="expression" priority="22" aboveAverage="0" equalAverage="0" bottom="0" percent="0" rank="0" text="" dxfId="24">
      <formula>AND($M6&lt;&gt;"",$N6&gt;=3)</formula>
    </cfRule>
    <cfRule type="expression" priority="23" aboveAverage="0" equalAverage="0" bottom="0" percent="0" rank="0" text="" dxfId="25">
      <formula>AND($M6&lt;&gt;"",$N6&gt;=1)</formula>
    </cfRule>
    <cfRule type="expression" priority="24" aboveAverage="0" equalAverage="0" bottom="0" percent="0" rank="0" text="" dxfId="26">
      <formula>AND($M6&lt;&gt;"",$N6&lt;=0)</formula>
    </cfRule>
  </conditionalFormatting>
  <dataValidations count="3">
    <dataValidation allowBlank="true" errorStyle="stop" operator="between" prompt="Complete needs: sign-off name + report link + completed date" promptTitle="Status" showDropDown="false" showErrorMessage="false" showInputMessage="true" sqref="I6:I51" type="list">
      <formula1>"Not Started,In Progress,Blocked,Complete,Skipped"</formula1>
      <formula2>0</formula2>
    </dataValidation>
    <dataValidation allowBlank="true" errorStyle="stop" operator="between" prompt="Select team member" promptTitle="Sign Off" showDropDown="false" showErrorMessage="false" showInputMessage="true" sqref="K6:K51" type="list">
      <formula1>TeamMembers</formula1>
      <formula2>0</formula2>
    </dataValidation>
    <dataValidation allowBlank="true" error="Enter a valid date (YYYY-MM-DD)" errorStyle="stop" errorTitle="Invalid Date" operator="greaterThan" prompt="Type the completion date (YYYY-MM-DD)" promptTitle="Completed Date" showDropDown="false" showErrorMessage="true" showInputMessage="true" sqref="M6:M51" type="date">
      <formula1>2020-1-1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E"/>
    <pageSetUpPr fitToPage="tru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4" min="14" style="0" width="7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46"/>
    <col collapsed="false" customWidth="true" hidden="false" outlineLevel="0" max="19" min="18" style="0" width="38"/>
  </cols>
  <sheetData>
    <row r="1" customFormat="false" ht="17.35" hidden="false" customHeight="false" outlineLevel="0" collapsed="false">
      <c r="A1" s="1" t="str">
        <f aca="false">IF(Config!B10&lt;&gt;"",Config!B10&amp;" — DNS, Certificate &amp; SSO Migration Runbook","Project 5 — Assign name on Config sheet")</f>
        <v>Project 5 — Assign name on Config sheet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27.75" hidden="false" customHeight="true" outlineLevel="0" collapsed="false">
      <c r="A3" s="35" t="s">
        <v>40</v>
      </c>
      <c r="B3" s="35"/>
      <c r="C3" s="36" t="n">
        <f aca="false">Config!C10</f>
        <v>0</v>
      </c>
      <c r="D3" s="35" t="s">
        <v>41</v>
      </c>
      <c r="E3" s="37" t="n">
        <f aca="false">Config!D10</f>
        <v>0</v>
      </c>
      <c r="F3" s="37"/>
      <c r="G3" s="35" t="s">
        <v>42</v>
      </c>
      <c r="H3" s="38" t="str">
        <f aca="false">Config!E10</f>
        <v/>
      </c>
      <c r="I3" s="35" t="s">
        <v>43</v>
      </c>
      <c r="J3" s="35"/>
      <c r="K3" s="36" t="str">
        <f aca="false">Config!F10</f>
        <v/>
      </c>
      <c r="L3" s="35" t="s">
        <v>44</v>
      </c>
      <c r="M3" s="39" t="str">
        <f aca="false">Config!G10</f>
        <v/>
      </c>
      <c r="N3" s="40"/>
      <c r="O3" s="40"/>
      <c r="P3" s="40"/>
      <c r="Q3" s="40"/>
      <c r="R3" s="40"/>
      <c r="S3" s="40"/>
    </row>
    <row r="5" customFormat="false" ht="35.05" hidden="false" customHeight="false" outlineLevel="0" collapsed="false">
      <c r="A5" s="9" t="s">
        <v>10</v>
      </c>
      <c r="B5" s="9" t="s">
        <v>45</v>
      </c>
      <c r="C5" s="9" t="s">
        <v>46</v>
      </c>
      <c r="D5" s="9" t="s">
        <v>47</v>
      </c>
      <c r="E5" s="9" t="s">
        <v>48</v>
      </c>
      <c r="F5" s="9" t="s">
        <v>49</v>
      </c>
      <c r="G5" s="9" t="s">
        <v>50</v>
      </c>
      <c r="H5" s="9" t="s">
        <v>51</v>
      </c>
      <c r="I5" s="41" t="s">
        <v>20</v>
      </c>
      <c r="J5" s="42" t="s">
        <v>17</v>
      </c>
      <c r="K5" s="43" t="s">
        <v>52</v>
      </c>
      <c r="L5" s="44" t="s">
        <v>53</v>
      </c>
      <c r="M5" s="45" t="s">
        <v>18</v>
      </c>
      <c r="N5" s="9" t="s">
        <v>54</v>
      </c>
      <c r="O5" s="9" t="s">
        <v>55</v>
      </c>
      <c r="P5" s="9" t="s">
        <v>56</v>
      </c>
      <c r="Q5" s="9" t="s">
        <v>57</v>
      </c>
      <c r="R5" s="9" t="s">
        <v>58</v>
      </c>
      <c r="S5" s="9" t="s">
        <v>59</v>
      </c>
    </row>
    <row r="6" customFormat="false" ht="36" hidden="false" customHeight="true" outlineLevel="0" collapsed="false">
      <c r="A6" s="46" t="n">
        <v>1</v>
      </c>
      <c r="B6" s="47" t="s">
        <v>60</v>
      </c>
      <c r="C6" s="46" t="s">
        <v>61</v>
      </c>
      <c r="D6" s="48" t="s">
        <v>62</v>
      </c>
      <c r="E6" s="49" t="s">
        <v>63</v>
      </c>
      <c r="F6" s="46" t="s">
        <v>64</v>
      </c>
      <c r="G6" s="50" t="e">
        <f aca="false">ROUND(0*$H$3,0)</f>
        <v>#VALUE!</v>
      </c>
      <c r="H6" s="51" t="e">
        <f aca="false">$C$3+G6</f>
        <v>#VALUE!</v>
      </c>
      <c r="I6" s="52"/>
      <c r="J6" s="53" t="n">
        <f aca="false">IF(I6="Complete",1,IF(I6="Skipped",1,IF(I6="Blocked",0.5,IF(I6="In Progress",0.25,0))))</f>
        <v>0</v>
      </c>
      <c r="K6" s="54"/>
      <c r="L6" s="55"/>
      <c r="M6" s="56"/>
      <c r="N6" s="57" t="str">
        <f aca="false">IF(M6="","",M6-H6)</f>
        <v/>
      </c>
      <c r="O6" s="58" t="str">
        <f aca="false">IF(M6="","",ABS(M6-H6)*24)</f>
        <v/>
      </c>
      <c r="P6" s="46"/>
      <c r="Q6" s="59" t="s">
        <v>65</v>
      </c>
      <c r="R6" s="59" t="s">
        <v>66</v>
      </c>
      <c r="S6" s="59" t="s">
        <v>67</v>
      </c>
    </row>
    <row r="7" customFormat="false" ht="36" hidden="false" customHeight="true" outlineLevel="0" collapsed="false">
      <c r="A7" s="23" t="n">
        <v>2</v>
      </c>
      <c r="B7" s="60" t="s">
        <v>60</v>
      </c>
      <c r="C7" s="23" t="s">
        <v>68</v>
      </c>
      <c r="D7" s="61" t="s">
        <v>69</v>
      </c>
      <c r="E7" s="62" t="s">
        <v>70</v>
      </c>
      <c r="F7" s="23" t="s">
        <v>64</v>
      </c>
      <c r="G7" s="26" t="e">
        <f aca="false">ROUND(0*$H$3,0)</f>
        <v>#VALUE!</v>
      </c>
      <c r="H7" s="25" t="e">
        <f aca="false">$C$3+G7</f>
        <v>#VALUE!</v>
      </c>
      <c r="I7" s="52"/>
      <c r="J7" s="53" t="n">
        <f aca="false">IF(I7="Complete",1,IF(I7="Skipped",1,IF(I7="Blocked",0.5,IF(I7="In Progress",0.25,0))))</f>
        <v>0</v>
      </c>
      <c r="K7" s="54"/>
      <c r="L7" s="55"/>
      <c r="M7" s="56"/>
      <c r="N7" s="57" t="str">
        <f aca="false">IF(M7="","",M7-H7)</f>
        <v/>
      </c>
      <c r="O7" s="58" t="str">
        <f aca="false">IF(M7="","",ABS(M7-H7)*24)</f>
        <v/>
      </c>
      <c r="P7" s="23"/>
      <c r="Q7" s="63" t="s">
        <v>71</v>
      </c>
      <c r="R7" s="63" t="s">
        <v>66</v>
      </c>
      <c r="S7" s="63" t="s">
        <v>72</v>
      </c>
    </row>
    <row r="8" customFormat="false" ht="36" hidden="false" customHeight="true" outlineLevel="0" collapsed="false">
      <c r="A8" s="11" t="n">
        <v>3</v>
      </c>
      <c r="B8" s="64" t="s">
        <v>60</v>
      </c>
      <c r="C8" s="11" t="s">
        <v>73</v>
      </c>
      <c r="D8" s="65" t="s">
        <v>74</v>
      </c>
      <c r="E8" s="66" t="s">
        <v>75</v>
      </c>
      <c r="F8" s="11" t="s">
        <v>64</v>
      </c>
      <c r="G8" s="17" t="e">
        <f aca="false">ROUND(0*$H$3,0)</f>
        <v>#VALUE!</v>
      </c>
      <c r="H8" s="16" t="e">
        <f aca="false">$C$3+G8</f>
        <v>#VALUE!</v>
      </c>
      <c r="I8" s="52"/>
      <c r="J8" s="53" t="n">
        <f aca="false">IF(I8="Complete",1,IF(I8="Skipped",1,IF(I8="Blocked",0.5,IF(I8="In Progress",0.25,0))))</f>
        <v>0</v>
      </c>
      <c r="K8" s="54"/>
      <c r="L8" s="55"/>
      <c r="M8" s="56"/>
      <c r="N8" s="57" t="str">
        <f aca="false">IF(M8="","",M8-H8)</f>
        <v/>
      </c>
      <c r="O8" s="58" t="str">
        <f aca="false">IF(M8="","",ABS(M8-H8)*24)</f>
        <v/>
      </c>
      <c r="P8" s="11"/>
      <c r="Q8" s="67" t="s">
        <v>76</v>
      </c>
      <c r="R8" s="67" t="s">
        <v>66</v>
      </c>
      <c r="S8" s="67" t="s">
        <v>77</v>
      </c>
    </row>
    <row r="9" customFormat="false" ht="36" hidden="false" customHeight="true" outlineLevel="0" collapsed="false">
      <c r="A9" s="23" t="n">
        <v>4</v>
      </c>
      <c r="B9" s="60" t="s">
        <v>60</v>
      </c>
      <c r="C9" s="23" t="s">
        <v>78</v>
      </c>
      <c r="D9" s="61" t="s">
        <v>79</v>
      </c>
      <c r="E9" s="62" t="s">
        <v>80</v>
      </c>
      <c r="F9" s="23" t="s">
        <v>64</v>
      </c>
      <c r="G9" s="26" t="e">
        <f aca="false">ROUND(1*$H$3,0)</f>
        <v>#VALUE!</v>
      </c>
      <c r="H9" s="25" t="e">
        <f aca="false">$C$3+G9</f>
        <v>#VALUE!</v>
      </c>
      <c r="I9" s="52"/>
      <c r="J9" s="53" t="n">
        <f aca="false">IF(I9="Complete",1,IF(I9="Skipped",1,IF(I9="Blocked",0.5,IF(I9="In Progress",0.25,0))))</f>
        <v>0</v>
      </c>
      <c r="K9" s="54"/>
      <c r="L9" s="55"/>
      <c r="M9" s="56"/>
      <c r="N9" s="57" t="str">
        <f aca="false">IF(M9="","",M9-H9)</f>
        <v/>
      </c>
      <c r="O9" s="58" t="str">
        <f aca="false">IF(M9="","",ABS(M9-H9)*24)</f>
        <v/>
      </c>
      <c r="P9" s="23"/>
      <c r="Q9" s="63" t="s">
        <v>81</v>
      </c>
      <c r="R9" s="63" t="s">
        <v>66</v>
      </c>
      <c r="S9" s="63" t="s">
        <v>82</v>
      </c>
    </row>
    <row r="10" customFormat="false" ht="36" hidden="false" customHeight="true" outlineLevel="0" collapsed="false">
      <c r="A10" s="11" t="n">
        <v>5</v>
      </c>
      <c r="B10" s="64" t="s">
        <v>60</v>
      </c>
      <c r="C10" s="11" t="s">
        <v>83</v>
      </c>
      <c r="D10" s="65" t="s">
        <v>84</v>
      </c>
      <c r="E10" s="66" t="s">
        <v>85</v>
      </c>
      <c r="F10" s="11" t="s">
        <v>64</v>
      </c>
      <c r="G10" s="17" t="e">
        <f aca="false">ROUND(1*$H$3,0)</f>
        <v>#VALUE!</v>
      </c>
      <c r="H10" s="16" t="e">
        <f aca="false">$C$3+G10</f>
        <v>#VALUE!</v>
      </c>
      <c r="I10" s="52"/>
      <c r="J10" s="53" t="n">
        <f aca="false">IF(I10="Complete",1,IF(I10="Skipped",1,IF(I10="Blocked",0.5,IF(I10="In Progress",0.25,0))))</f>
        <v>0</v>
      </c>
      <c r="K10" s="54"/>
      <c r="L10" s="55"/>
      <c r="M10" s="56"/>
      <c r="N10" s="57" t="str">
        <f aca="false">IF(M10="","",M10-H10)</f>
        <v/>
      </c>
      <c r="O10" s="58" t="str">
        <f aca="false">IF(M10="","",ABS(M10-H10)*24)</f>
        <v/>
      </c>
      <c r="P10" s="11"/>
      <c r="Q10" s="67" t="s">
        <v>86</v>
      </c>
      <c r="R10" s="67" t="s">
        <v>66</v>
      </c>
      <c r="S10" s="67" t="s">
        <v>87</v>
      </c>
    </row>
    <row r="11" customFormat="false" ht="36" hidden="false" customHeight="true" outlineLevel="0" collapsed="false">
      <c r="A11" s="23" t="n">
        <v>6</v>
      </c>
      <c r="B11" s="60" t="s">
        <v>60</v>
      </c>
      <c r="C11" s="23" t="s">
        <v>88</v>
      </c>
      <c r="D11" s="61" t="s">
        <v>89</v>
      </c>
      <c r="E11" s="62" t="s">
        <v>90</v>
      </c>
      <c r="F11" s="23" t="s">
        <v>64</v>
      </c>
      <c r="G11" s="26" t="e">
        <f aca="false">ROUND(1*$H$3,0)</f>
        <v>#VALUE!</v>
      </c>
      <c r="H11" s="25" t="e">
        <f aca="false">$C$3+G11</f>
        <v>#VALUE!</v>
      </c>
      <c r="I11" s="52"/>
      <c r="J11" s="53" t="n">
        <f aca="false">IF(I11="Complete",1,IF(I11="Skipped",1,IF(I11="Blocked",0.5,IF(I11="In Progress",0.25,0))))</f>
        <v>0</v>
      </c>
      <c r="K11" s="54"/>
      <c r="L11" s="55"/>
      <c r="M11" s="56"/>
      <c r="N11" s="57" t="str">
        <f aca="false">IF(M11="","",M11-H11)</f>
        <v/>
      </c>
      <c r="O11" s="58" t="str">
        <f aca="false">IF(M11="","",ABS(M11-H11)*24)</f>
        <v/>
      </c>
      <c r="P11" s="23"/>
      <c r="Q11" s="63" t="s">
        <v>91</v>
      </c>
      <c r="R11" s="63" t="s">
        <v>66</v>
      </c>
      <c r="S11" s="63" t="s">
        <v>92</v>
      </c>
    </row>
    <row r="12" customFormat="false" ht="36" hidden="false" customHeight="true" outlineLevel="0" collapsed="false">
      <c r="A12" s="11" t="n">
        <v>7</v>
      </c>
      <c r="B12" s="64" t="s">
        <v>60</v>
      </c>
      <c r="C12" s="11" t="s">
        <v>93</v>
      </c>
      <c r="D12" s="65" t="s">
        <v>94</v>
      </c>
      <c r="E12" s="66" t="s">
        <v>95</v>
      </c>
      <c r="F12" s="11" t="s">
        <v>96</v>
      </c>
      <c r="G12" s="17" t="e">
        <f aca="false">ROUND(1*$H$3,0)</f>
        <v>#VALUE!</v>
      </c>
      <c r="H12" s="16" t="e">
        <f aca="false">$C$3+G12</f>
        <v>#VALUE!</v>
      </c>
      <c r="I12" s="52"/>
      <c r="J12" s="53" t="n">
        <f aca="false">IF(I12="Complete",1,IF(I12="Skipped",1,IF(I12="Blocked",0.5,IF(I12="In Progress",0.25,0))))</f>
        <v>0</v>
      </c>
      <c r="K12" s="54"/>
      <c r="L12" s="55"/>
      <c r="M12" s="56"/>
      <c r="N12" s="57" t="str">
        <f aca="false">IF(M12="","",M12-H12)</f>
        <v/>
      </c>
      <c r="O12" s="58" t="str">
        <f aca="false">IF(M12="","",ABS(M12-H12)*24)</f>
        <v/>
      </c>
      <c r="P12" s="11"/>
      <c r="Q12" s="67" t="s">
        <v>97</v>
      </c>
      <c r="R12" s="67" t="s">
        <v>66</v>
      </c>
      <c r="S12" s="67" t="s">
        <v>98</v>
      </c>
    </row>
    <row r="13" customFormat="false" ht="36" hidden="false" customHeight="true" outlineLevel="0" collapsed="false">
      <c r="A13" s="23" t="n">
        <v>8</v>
      </c>
      <c r="B13" s="60" t="s">
        <v>60</v>
      </c>
      <c r="C13" s="23" t="s">
        <v>99</v>
      </c>
      <c r="D13" s="61" t="s">
        <v>100</v>
      </c>
      <c r="E13" s="62" t="s">
        <v>101</v>
      </c>
      <c r="F13" s="23" t="s">
        <v>64</v>
      </c>
      <c r="G13" s="26" t="e">
        <f aca="false">ROUND(1*$H$3,0)</f>
        <v>#VALUE!</v>
      </c>
      <c r="H13" s="25" t="e">
        <f aca="false">$C$3+G13</f>
        <v>#VALUE!</v>
      </c>
      <c r="I13" s="52"/>
      <c r="J13" s="53" t="n">
        <f aca="false">IF(I13="Complete",1,IF(I13="Skipped",1,IF(I13="Blocked",0.5,IF(I13="In Progress",0.25,0))))</f>
        <v>0</v>
      </c>
      <c r="K13" s="54"/>
      <c r="L13" s="55"/>
      <c r="M13" s="56"/>
      <c r="N13" s="57" t="str">
        <f aca="false">IF(M13="","",M13-H13)</f>
        <v/>
      </c>
      <c r="O13" s="58" t="str">
        <f aca="false">IF(M13="","",ABS(M13-H13)*24)</f>
        <v/>
      </c>
      <c r="P13" s="23"/>
      <c r="Q13" s="63" t="s">
        <v>102</v>
      </c>
      <c r="R13" s="63" t="s">
        <v>103</v>
      </c>
      <c r="S13" s="63" t="s">
        <v>104</v>
      </c>
    </row>
    <row r="14" customFormat="false" ht="36" hidden="false" customHeight="true" outlineLevel="0" collapsed="false">
      <c r="A14" s="11" t="n">
        <v>9</v>
      </c>
      <c r="B14" s="64" t="s">
        <v>60</v>
      </c>
      <c r="C14" s="11" t="s">
        <v>105</v>
      </c>
      <c r="D14" s="65" t="s">
        <v>106</v>
      </c>
      <c r="E14" s="66" t="s">
        <v>107</v>
      </c>
      <c r="F14" s="11" t="s">
        <v>64</v>
      </c>
      <c r="G14" s="17" t="e">
        <f aca="false">ROUND(2*$H$3,0)</f>
        <v>#VALUE!</v>
      </c>
      <c r="H14" s="16" t="e">
        <f aca="false">$C$3+G14</f>
        <v>#VALUE!</v>
      </c>
      <c r="I14" s="52"/>
      <c r="J14" s="53" t="n">
        <f aca="false">IF(I14="Complete",1,IF(I14="Skipped",1,IF(I14="Blocked",0.5,IF(I14="In Progress",0.25,0))))</f>
        <v>0</v>
      </c>
      <c r="K14" s="54"/>
      <c r="L14" s="55"/>
      <c r="M14" s="56"/>
      <c r="N14" s="57" t="str">
        <f aca="false">IF(M14="","",M14-H14)</f>
        <v/>
      </c>
      <c r="O14" s="58" t="str">
        <f aca="false">IF(M14="","",ABS(M14-H14)*24)</f>
        <v/>
      </c>
      <c r="P14" s="11"/>
      <c r="Q14" s="67" t="s">
        <v>108</v>
      </c>
      <c r="R14" s="67" t="s">
        <v>109</v>
      </c>
      <c r="S14" s="67" t="s">
        <v>110</v>
      </c>
    </row>
    <row r="15" customFormat="false" ht="36" hidden="false" customHeight="true" outlineLevel="0" collapsed="false">
      <c r="A15" s="23" t="n">
        <v>10</v>
      </c>
      <c r="B15" s="60" t="s">
        <v>60</v>
      </c>
      <c r="C15" s="23" t="s">
        <v>111</v>
      </c>
      <c r="D15" s="61" t="s">
        <v>112</v>
      </c>
      <c r="E15" s="62" t="s">
        <v>113</v>
      </c>
      <c r="F15" s="23" t="s">
        <v>114</v>
      </c>
      <c r="G15" s="26" t="e">
        <f aca="false">ROUND(2*$H$3,0)</f>
        <v>#VALUE!</v>
      </c>
      <c r="H15" s="25" t="e">
        <f aca="false">$C$3+G15</f>
        <v>#VALUE!</v>
      </c>
      <c r="I15" s="52"/>
      <c r="J15" s="53" t="n">
        <f aca="false">IF(I15="Complete",1,IF(I15="Skipped",1,IF(I15="Blocked",0.5,IF(I15="In Progress",0.25,0))))</f>
        <v>0</v>
      </c>
      <c r="K15" s="54"/>
      <c r="L15" s="55"/>
      <c r="M15" s="56"/>
      <c r="N15" s="57" t="str">
        <f aca="false">IF(M15="","",M15-H15)</f>
        <v/>
      </c>
      <c r="O15" s="58" t="str">
        <f aca="false">IF(M15="","",ABS(M15-H15)*24)</f>
        <v/>
      </c>
      <c r="P15" s="23"/>
      <c r="Q15" s="63" t="s">
        <v>115</v>
      </c>
      <c r="R15" s="63" t="s">
        <v>116</v>
      </c>
      <c r="S15" s="63" t="s">
        <v>117</v>
      </c>
    </row>
    <row r="16" customFormat="false" ht="36" hidden="false" customHeight="true" outlineLevel="0" collapsed="false">
      <c r="A16" s="46" t="n">
        <v>11</v>
      </c>
      <c r="B16" s="47" t="s">
        <v>118</v>
      </c>
      <c r="C16" s="46" t="s">
        <v>119</v>
      </c>
      <c r="D16" s="48" t="s">
        <v>120</v>
      </c>
      <c r="E16" s="49" t="s">
        <v>121</v>
      </c>
      <c r="F16" s="46" t="s">
        <v>64</v>
      </c>
      <c r="G16" s="50" t="e">
        <f aca="false">ROUND(3*$H$3,0)</f>
        <v>#VALUE!</v>
      </c>
      <c r="H16" s="51" t="e">
        <f aca="false">$C$3+G16</f>
        <v>#VALUE!</v>
      </c>
      <c r="I16" s="52"/>
      <c r="J16" s="53" t="n">
        <f aca="false">IF(I16="Complete",1,IF(I16="Skipped",1,IF(I16="Blocked",0.5,IF(I16="In Progress",0.25,0))))</f>
        <v>0</v>
      </c>
      <c r="K16" s="54"/>
      <c r="L16" s="55"/>
      <c r="M16" s="56"/>
      <c r="N16" s="57" t="str">
        <f aca="false">IF(M16="","",M16-H16)</f>
        <v/>
      </c>
      <c r="O16" s="58" t="str">
        <f aca="false">IF(M16="","",ABS(M16-H16)*24)</f>
        <v/>
      </c>
      <c r="P16" s="46"/>
      <c r="Q16" s="59" t="s">
        <v>122</v>
      </c>
      <c r="R16" s="59" t="s">
        <v>123</v>
      </c>
      <c r="S16" s="59" t="s">
        <v>124</v>
      </c>
    </row>
    <row r="17" customFormat="false" ht="36" hidden="false" customHeight="true" outlineLevel="0" collapsed="false">
      <c r="A17" s="23" t="n">
        <v>12</v>
      </c>
      <c r="B17" s="60" t="s">
        <v>118</v>
      </c>
      <c r="C17" s="23" t="s">
        <v>125</v>
      </c>
      <c r="D17" s="61" t="s">
        <v>126</v>
      </c>
      <c r="E17" s="62" t="s">
        <v>127</v>
      </c>
      <c r="F17" s="23" t="s">
        <v>64</v>
      </c>
      <c r="G17" s="26" t="e">
        <f aca="false">ROUND(3*$H$3,0)</f>
        <v>#VALUE!</v>
      </c>
      <c r="H17" s="25" t="e">
        <f aca="false">$C$3+G17</f>
        <v>#VALUE!</v>
      </c>
      <c r="I17" s="52"/>
      <c r="J17" s="53" t="n">
        <f aca="false">IF(I17="Complete",1,IF(I17="Skipped",1,IF(I17="Blocked",0.5,IF(I17="In Progress",0.25,0))))</f>
        <v>0</v>
      </c>
      <c r="K17" s="54"/>
      <c r="L17" s="55"/>
      <c r="M17" s="56"/>
      <c r="N17" s="57" t="str">
        <f aca="false">IF(M17="","",M17-H17)</f>
        <v/>
      </c>
      <c r="O17" s="58" t="str">
        <f aca="false">IF(M17="","",ABS(M17-H17)*24)</f>
        <v/>
      </c>
      <c r="P17" s="23"/>
      <c r="Q17" s="63" t="s">
        <v>128</v>
      </c>
      <c r="R17" s="63" t="s">
        <v>129</v>
      </c>
      <c r="S17" s="63" t="s">
        <v>130</v>
      </c>
    </row>
    <row r="18" customFormat="false" ht="36" hidden="false" customHeight="true" outlineLevel="0" collapsed="false">
      <c r="A18" s="11" t="n">
        <v>13</v>
      </c>
      <c r="B18" s="64" t="s">
        <v>118</v>
      </c>
      <c r="C18" s="11" t="s">
        <v>131</v>
      </c>
      <c r="D18" s="65" t="s">
        <v>132</v>
      </c>
      <c r="E18" s="66" t="s">
        <v>133</v>
      </c>
      <c r="F18" s="11" t="s">
        <v>64</v>
      </c>
      <c r="G18" s="17" t="e">
        <f aca="false">ROUND(3*$H$3,0)</f>
        <v>#VALUE!</v>
      </c>
      <c r="H18" s="16" t="e">
        <f aca="false">$C$3+G18</f>
        <v>#VALUE!</v>
      </c>
      <c r="I18" s="52"/>
      <c r="J18" s="53" t="n">
        <f aca="false">IF(I18="Complete",1,IF(I18="Skipped",1,IF(I18="Blocked",0.5,IF(I18="In Progress",0.25,0))))</f>
        <v>0</v>
      </c>
      <c r="K18" s="54"/>
      <c r="L18" s="55"/>
      <c r="M18" s="56"/>
      <c r="N18" s="57" t="str">
        <f aca="false">IF(M18="","",M18-H18)</f>
        <v/>
      </c>
      <c r="O18" s="58" t="str">
        <f aca="false">IF(M18="","",ABS(M18-H18)*24)</f>
        <v/>
      </c>
      <c r="P18" s="11"/>
      <c r="Q18" s="67" t="s">
        <v>134</v>
      </c>
      <c r="R18" s="67" t="s">
        <v>135</v>
      </c>
      <c r="S18" s="67" t="s">
        <v>136</v>
      </c>
    </row>
    <row r="19" customFormat="false" ht="36" hidden="false" customHeight="true" outlineLevel="0" collapsed="false">
      <c r="A19" s="23" t="n">
        <v>14</v>
      </c>
      <c r="B19" s="60" t="s">
        <v>118</v>
      </c>
      <c r="C19" s="23" t="s">
        <v>137</v>
      </c>
      <c r="D19" s="61" t="s">
        <v>138</v>
      </c>
      <c r="E19" s="62" t="s">
        <v>139</v>
      </c>
      <c r="F19" s="23" t="s">
        <v>64</v>
      </c>
      <c r="G19" s="26" t="e">
        <f aca="false">ROUND(3*$H$3,0)</f>
        <v>#VALUE!</v>
      </c>
      <c r="H19" s="25" t="e">
        <f aca="false">$C$3+G19</f>
        <v>#VALUE!</v>
      </c>
      <c r="I19" s="52"/>
      <c r="J19" s="53" t="n">
        <f aca="false">IF(I19="Complete",1,IF(I19="Skipped",1,IF(I19="Blocked",0.5,IF(I19="In Progress",0.25,0))))</f>
        <v>0</v>
      </c>
      <c r="K19" s="54"/>
      <c r="L19" s="55"/>
      <c r="M19" s="56"/>
      <c r="N19" s="57" t="str">
        <f aca="false">IF(M19="","",M19-H19)</f>
        <v/>
      </c>
      <c r="O19" s="58" t="str">
        <f aca="false">IF(M19="","",ABS(M19-H19)*24)</f>
        <v/>
      </c>
      <c r="P19" s="23"/>
      <c r="Q19" s="63" t="s">
        <v>140</v>
      </c>
      <c r="R19" s="63" t="s">
        <v>141</v>
      </c>
      <c r="S19" s="63" t="s">
        <v>142</v>
      </c>
    </row>
    <row r="20" customFormat="false" ht="36" hidden="false" customHeight="true" outlineLevel="0" collapsed="false">
      <c r="A20" s="11" t="n">
        <v>15</v>
      </c>
      <c r="B20" s="64" t="s">
        <v>118</v>
      </c>
      <c r="C20" s="11" t="s">
        <v>143</v>
      </c>
      <c r="D20" s="65" t="s">
        <v>144</v>
      </c>
      <c r="E20" s="66" t="s">
        <v>145</v>
      </c>
      <c r="F20" s="11" t="s">
        <v>64</v>
      </c>
      <c r="G20" s="17" t="e">
        <f aca="false">ROUND(3*$H$3,0)</f>
        <v>#VALUE!</v>
      </c>
      <c r="H20" s="16" t="e">
        <f aca="false">$C$3+G20</f>
        <v>#VALUE!</v>
      </c>
      <c r="I20" s="52"/>
      <c r="J20" s="53" t="n">
        <f aca="false">IF(I20="Complete",1,IF(I20="Skipped",1,IF(I20="Blocked",0.5,IF(I20="In Progress",0.25,0))))</f>
        <v>0</v>
      </c>
      <c r="K20" s="54"/>
      <c r="L20" s="55"/>
      <c r="M20" s="56"/>
      <c r="N20" s="57" t="str">
        <f aca="false">IF(M20="","",M20-H20)</f>
        <v/>
      </c>
      <c r="O20" s="58" t="str">
        <f aca="false">IF(M20="","",ABS(M20-H20)*24)</f>
        <v/>
      </c>
      <c r="P20" s="11"/>
      <c r="Q20" s="67" t="s">
        <v>146</v>
      </c>
      <c r="R20" s="67" t="s">
        <v>147</v>
      </c>
      <c r="S20" s="67" t="s">
        <v>148</v>
      </c>
    </row>
    <row r="21" customFormat="false" ht="36" hidden="false" customHeight="true" outlineLevel="0" collapsed="false">
      <c r="A21" s="23" t="n">
        <v>16</v>
      </c>
      <c r="B21" s="60" t="s">
        <v>118</v>
      </c>
      <c r="C21" s="23" t="s">
        <v>149</v>
      </c>
      <c r="D21" s="61" t="s">
        <v>150</v>
      </c>
      <c r="E21" s="62" t="s">
        <v>151</v>
      </c>
      <c r="F21" s="23" t="s">
        <v>152</v>
      </c>
      <c r="G21" s="26" t="e">
        <f aca="false">ROUND(3*$H$3,0)</f>
        <v>#VALUE!</v>
      </c>
      <c r="H21" s="25" t="e">
        <f aca="false">$C$3+G21</f>
        <v>#VALUE!</v>
      </c>
      <c r="I21" s="52"/>
      <c r="J21" s="53" t="n">
        <f aca="false">IF(I21="Complete",1,IF(I21="Skipped",1,IF(I21="Blocked",0.5,IF(I21="In Progress",0.25,0))))</f>
        <v>0</v>
      </c>
      <c r="K21" s="54"/>
      <c r="L21" s="55"/>
      <c r="M21" s="56"/>
      <c r="N21" s="57" t="str">
        <f aca="false">IF(M21="","",M21-H21)</f>
        <v/>
      </c>
      <c r="O21" s="58" t="str">
        <f aca="false">IF(M21="","",ABS(M21-H21)*24)</f>
        <v/>
      </c>
      <c r="P21" s="23"/>
      <c r="Q21" s="63" t="s">
        <v>153</v>
      </c>
      <c r="R21" s="63" t="s">
        <v>154</v>
      </c>
      <c r="S21" s="63" t="s">
        <v>155</v>
      </c>
    </row>
    <row r="22" customFormat="false" ht="36" hidden="false" customHeight="true" outlineLevel="0" collapsed="false">
      <c r="A22" s="46" t="n">
        <v>17</v>
      </c>
      <c r="B22" s="47" t="s">
        <v>156</v>
      </c>
      <c r="C22" s="46" t="s">
        <v>157</v>
      </c>
      <c r="D22" s="48" t="s">
        <v>158</v>
      </c>
      <c r="E22" s="49" t="s">
        <v>159</v>
      </c>
      <c r="F22" s="46" t="s">
        <v>64</v>
      </c>
      <c r="G22" s="50" t="e">
        <f aca="false">ROUND(4*$H$3,0)</f>
        <v>#VALUE!</v>
      </c>
      <c r="H22" s="51" t="e">
        <f aca="false">$C$3+G22</f>
        <v>#VALUE!</v>
      </c>
      <c r="I22" s="52"/>
      <c r="J22" s="53" t="n">
        <f aca="false">IF(I22="Complete",1,IF(I22="Skipped",1,IF(I22="Blocked",0.5,IF(I22="In Progress",0.25,0))))</f>
        <v>0</v>
      </c>
      <c r="K22" s="54"/>
      <c r="L22" s="55"/>
      <c r="M22" s="56"/>
      <c r="N22" s="57" t="str">
        <f aca="false">IF(M22="","",M22-H22)</f>
        <v/>
      </c>
      <c r="O22" s="58" t="str">
        <f aca="false">IF(M22="","",ABS(M22-H22)*24)</f>
        <v/>
      </c>
      <c r="P22" s="46"/>
      <c r="Q22" s="59" t="s">
        <v>160</v>
      </c>
      <c r="R22" s="59" t="s">
        <v>161</v>
      </c>
      <c r="S22" s="59" t="s">
        <v>162</v>
      </c>
    </row>
    <row r="23" customFormat="false" ht="36" hidden="false" customHeight="true" outlineLevel="0" collapsed="false">
      <c r="A23" s="23" t="n">
        <v>18</v>
      </c>
      <c r="B23" s="60" t="s">
        <v>156</v>
      </c>
      <c r="C23" s="23" t="s">
        <v>163</v>
      </c>
      <c r="D23" s="61" t="s">
        <v>164</v>
      </c>
      <c r="E23" s="62" t="s">
        <v>165</v>
      </c>
      <c r="F23" s="23" t="s">
        <v>64</v>
      </c>
      <c r="G23" s="26" t="e">
        <f aca="false">ROUND(4*$H$3,0)</f>
        <v>#VALUE!</v>
      </c>
      <c r="H23" s="25" t="e">
        <f aca="false">$C$3+G23</f>
        <v>#VALUE!</v>
      </c>
      <c r="I23" s="52"/>
      <c r="J23" s="53" t="n">
        <f aca="false">IF(I23="Complete",1,IF(I23="Skipped",1,IF(I23="Blocked",0.5,IF(I23="In Progress",0.25,0))))</f>
        <v>0</v>
      </c>
      <c r="K23" s="54"/>
      <c r="L23" s="55"/>
      <c r="M23" s="56"/>
      <c r="N23" s="57" t="str">
        <f aca="false">IF(M23="","",M23-H23)</f>
        <v/>
      </c>
      <c r="O23" s="58" t="str">
        <f aca="false">IF(M23="","",ABS(M23-H23)*24)</f>
        <v/>
      </c>
      <c r="P23" s="23"/>
      <c r="Q23" s="63" t="s">
        <v>166</v>
      </c>
      <c r="R23" s="63" t="s">
        <v>167</v>
      </c>
      <c r="S23" s="63"/>
    </row>
    <row r="24" customFormat="false" ht="36" hidden="false" customHeight="true" outlineLevel="0" collapsed="false">
      <c r="A24" s="11" t="n">
        <v>19</v>
      </c>
      <c r="B24" s="64" t="s">
        <v>156</v>
      </c>
      <c r="C24" s="11" t="s">
        <v>168</v>
      </c>
      <c r="D24" s="65" t="s">
        <v>169</v>
      </c>
      <c r="E24" s="66" t="s">
        <v>170</v>
      </c>
      <c r="F24" s="11" t="s">
        <v>64</v>
      </c>
      <c r="G24" s="17" t="e">
        <f aca="false">ROUND(4*$H$3,0)</f>
        <v>#VALUE!</v>
      </c>
      <c r="H24" s="16" t="e">
        <f aca="false">$C$3+G24</f>
        <v>#VALUE!</v>
      </c>
      <c r="I24" s="52"/>
      <c r="J24" s="53" t="n">
        <f aca="false">IF(I24="Complete",1,IF(I24="Skipped",1,IF(I24="Blocked",0.5,IF(I24="In Progress",0.25,0))))</f>
        <v>0</v>
      </c>
      <c r="K24" s="54"/>
      <c r="L24" s="55"/>
      <c r="M24" s="56"/>
      <c r="N24" s="57" t="str">
        <f aca="false">IF(M24="","",M24-H24)</f>
        <v/>
      </c>
      <c r="O24" s="58" t="str">
        <f aca="false">IF(M24="","",ABS(M24-H24)*24)</f>
        <v/>
      </c>
      <c r="P24" s="11"/>
      <c r="Q24" s="67" t="s">
        <v>171</v>
      </c>
      <c r="R24" s="67" t="s">
        <v>172</v>
      </c>
      <c r="S24" s="67" t="s">
        <v>173</v>
      </c>
    </row>
    <row r="25" customFormat="false" ht="36" hidden="false" customHeight="true" outlineLevel="0" collapsed="false">
      <c r="A25" s="23" t="n">
        <v>20</v>
      </c>
      <c r="B25" s="60" t="s">
        <v>156</v>
      </c>
      <c r="C25" s="23" t="s">
        <v>174</v>
      </c>
      <c r="D25" s="61" t="s">
        <v>175</v>
      </c>
      <c r="E25" s="62" t="s">
        <v>176</v>
      </c>
      <c r="F25" s="23" t="s">
        <v>64</v>
      </c>
      <c r="G25" s="26" t="e">
        <f aca="false">ROUND(4*$H$3,0)</f>
        <v>#VALUE!</v>
      </c>
      <c r="H25" s="25" t="e">
        <f aca="false">$C$3+G25</f>
        <v>#VALUE!</v>
      </c>
      <c r="I25" s="52"/>
      <c r="J25" s="53" t="n">
        <f aca="false">IF(I25="Complete",1,IF(I25="Skipped",1,IF(I25="Blocked",0.5,IF(I25="In Progress",0.25,0))))</f>
        <v>0</v>
      </c>
      <c r="K25" s="54"/>
      <c r="L25" s="55"/>
      <c r="M25" s="56"/>
      <c r="N25" s="57" t="str">
        <f aca="false">IF(M25="","",M25-H25)</f>
        <v/>
      </c>
      <c r="O25" s="58" t="str">
        <f aca="false">IF(M25="","",ABS(M25-H25)*24)</f>
        <v/>
      </c>
      <c r="P25" s="23"/>
      <c r="Q25" s="63" t="s">
        <v>177</v>
      </c>
      <c r="R25" s="63" t="s">
        <v>178</v>
      </c>
      <c r="S25" s="63" t="s">
        <v>179</v>
      </c>
    </row>
    <row r="26" customFormat="false" ht="36" hidden="false" customHeight="true" outlineLevel="0" collapsed="false">
      <c r="A26" s="11" t="n">
        <v>21</v>
      </c>
      <c r="B26" s="64" t="s">
        <v>156</v>
      </c>
      <c r="C26" s="11" t="s">
        <v>180</v>
      </c>
      <c r="D26" s="65" t="s">
        <v>181</v>
      </c>
      <c r="E26" s="66" t="s">
        <v>182</v>
      </c>
      <c r="F26" s="11" t="s">
        <v>64</v>
      </c>
      <c r="G26" s="17" t="e">
        <f aca="false">ROUND(4*$H$3,0)</f>
        <v>#VALUE!</v>
      </c>
      <c r="H26" s="16" t="e">
        <f aca="false">$C$3+G26</f>
        <v>#VALUE!</v>
      </c>
      <c r="I26" s="52"/>
      <c r="J26" s="53" t="n">
        <f aca="false">IF(I26="Complete",1,IF(I26="Skipped",1,IF(I26="Blocked",0.5,IF(I26="In Progress",0.25,0))))</f>
        <v>0</v>
      </c>
      <c r="K26" s="54"/>
      <c r="L26" s="55"/>
      <c r="M26" s="56"/>
      <c r="N26" s="57" t="str">
        <f aca="false">IF(M26="","",M26-H26)</f>
        <v/>
      </c>
      <c r="O26" s="58" t="str">
        <f aca="false">IF(M26="","",ABS(M26-H26)*24)</f>
        <v/>
      </c>
      <c r="P26" s="11"/>
      <c r="Q26" s="67" t="s">
        <v>183</v>
      </c>
      <c r="R26" s="67" t="s">
        <v>184</v>
      </c>
      <c r="S26" s="67" t="s">
        <v>185</v>
      </c>
    </row>
    <row r="27" customFormat="false" ht="36" hidden="false" customHeight="true" outlineLevel="0" collapsed="false">
      <c r="A27" s="23" t="n">
        <v>22</v>
      </c>
      <c r="B27" s="60" t="s">
        <v>156</v>
      </c>
      <c r="C27" s="23" t="s">
        <v>186</v>
      </c>
      <c r="D27" s="61" t="s">
        <v>187</v>
      </c>
      <c r="E27" s="62" t="s">
        <v>188</v>
      </c>
      <c r="F27" s="23" t="s">
        <v>64</v>
      </c>
      <c r="G27" s="26" t="e">
        <f aca="false">ROUND(4*$H$3,0)</f>
        <v>#VALUE!</v>
      </c>
      <c r="H27" s="25" t="e">
        <f aca="false">$C$3+G27</f>
        <v>#VALUE!</v>
      </c>
      <c r="I27" s="52"/>
      <c r="J27" s="53" t="n">
        <f aca="false">IF(I27="Complete",1,IF(I27="Skipped",1,IF(I27="Blocked",0.5,IF(I27="In Progress",0.25,0))))</f>
        <v>0</v>
      </c>
      <c r="K27" s="54"/>
      <c r="L27" s="55"/>
      <c r="M27" s="56"/>
      <c r="N27" s="57" t="str">
        <f aca="false">IF(M27="","",M27-H27)</f>
        <v/>
      </c>
      <c r="O27" s="58" t="str">
        <f aca="false">IF(M27="","",ABS(M27-H27)*24)</f>
        <v/>
      </c>
      <c r="P27" s="23"/>
      <c r="Q27" s="63" t="s">
        <v>189</v>
      </c>
      <c r="R27" s="63" t="s">
        <v>190</v>
      </c>
      <c r="S27" s="63" t="s">
        <v>191</v>
      </c>
    </row>
    <row r="28" customFormat="false" ht="36" hidden="false" customHeight="true" outlineLevel="0" collapsed="false">
      <c r="A28" s="11" t="n">
        <v>23</v>
      </c>
      <c r="B28" s="64" t="s">
        <v>156</v>
      </c>
      <c r="C28" s="11" t="s">
        <v>192</v>
      </c>
      <c r="D28" s="65" t="s">
        <v>193</v>
      </c>
      <c r="E28" s="66" t="s">
        <v>194</v>
      </c>
      <c r="F28" s="11" t="s">
        <v>64</v>
      </c>
      <c r="G28" s="17" t="e">
        <f aca="false">ROUND(5*$H$3,0)</f>
        <v>#VALUE!</v>
      </c>
      <c r="H28" s="16" t="e">
        <f aca="false">$C$3+G28</f>
        <v>#VALUE!</v>
      </c>
      <c r="I28" s="52"/>
      <c r="J28" s="53" t="n">
        <f aca="false">IF(I28="Complete",1,IF(I28="Skipped",1,IF(I28="Blocked",0.5,IF(I28="In Progress",0.25,0))))</f>
        <v>0</v>
      </c>
      <c r="K28" s="54"/>
      <c r="L28" s="55"/>
      <c r="M28" s="56"/>
      <c r="N28" s="57" t="str">
        <f aca="false">IF(M28="","",M28-H28)</f>
        <v/>
      </c>
      <c r="O28" s="58" t="str">
        <f aca="false">IF(M28="","",ABS(M28-H28)*24)</f>
        <v/>
      </c>
      <c r="P28" s="11"/>
      <c r="Q28" s="67" t="s">
        <v>195</v>
      </c>
      <c r="R28" s="67" t="s">
        <v>196</v>
      </c>
      <c r="S28" s="67" t="s">
        <v>197</v>
      </c>
    </row>
    <row r="29" customFormat="false" ht="36" hidden="false" customHeight="true" outlineLevel="0" collapsed="false">
      <c r="A29" s="23" t="n">
        <v>24</v>
      </c>
      <c r="B29" s="60" t="s">
        <v>156</v>
      </c>
      <c r="C29" s="23" t="s">
        <v>198</v>
      </c>
      <c r="D29" s="61" t="s">
        <v>199</v>
      </c>
      <c r="E29" s="62" t="s">
        <v>200</v>
      </c>
      <c r="F29" s="23" t="s">
        <v>64</v>
      </c>
      <c r="G29" s="26" t="e">
        <f aca="false">ROUND(5*$H$3,0)</f>
        <v>#VALUE!</v>
      </c>
      <c r="H29" s="25" t="e">
        <f aca="false">$C$3+G29</f>
        <v>#VALUE!</v>
      </c>
      <c r="I29" s="52"/>
      <c r="J29" s="53" t="n">
        <f aca="false">IF(I29="Complete",1,IF(I29="Skipped",1,IF(I29="Blocked",0.5,IF(I29="In Progress",0.25,0))))</f>
        <v>0</v>
      </c>
      <c r="K29" s="54"/>
      <c r="L29" s="55"/>
      <c r="M29" s="56"/>
      <c r="N29" s="57" t="str">
        <f aca="false">IF(M29="","",M29-H29)</f>
        <v/>
      </c>
      <c r="O29" s="58" t="str">
        <f aca="false">IF(M29="","",ABS(M29-H29)*24)</f>
        <v/>
      </c>
      <c r="P29" s="23"/>
      <c r="Q29" s="63" t="s">
        <v>201</v>
      </c>
      <c r="R29" s="63" t="s">
        <v>202</v>
      </c>
      <c r="S29" s="63" t="s">
        <v>203</v>
      </c>
    </row>
    <row r="30" customFormat="false" ht="36" hidden="false" customHeight="true" outlineLevel="0" collapsed="false">
      <c r="A30" s="11" t="n">
        <v>25</v>
      </c>
      <c r="B30" s="64" t="s">
        <v>156</v>
      </c>
      <c r="C30" s="11" t="s">
        <v>204</v>
      </c>
      <c r="D30" s="65" t="s">
        <v>205</v>
      </c>
      <c r="E30" s="66" t="s">
        <v>206</v>
      </c>
      <c r="F30" s="11" t="s">
        <v>64</v>
      </c>
      <c r="G30" s="17" t="e">
        <f aca="false">ROUND(5*$H$3,0)</f>
        <v>#VALUE!</v>
      </c>
      <c r="H30" s="16" t="e">
        <f aca="false">$C$3+G30</f>
        <v>#VALUE!</v>
      </c>
      <c r="I30" s="52"/>
      <c r="J30" s="53" t="n">
        <f aca="false">IF(I30="Complete",1,IF(I30="Skipped",1,IF(I30="Blocked",0.5,IF(I30="In Progress",0.25,0))))</f>
        <v>0</v>
      </c>
      <c r="K30" s="54"/>
      <c r="L30" s="55"/>
      <c r="M30" s="56"/>
      <c r="N30" s="57" t="str">
        <f aca="false">IF(M30="","",M30-H30)</f>
        <v/>
      </c>
      <c r="O30" s="58" t="str">
        <f aca="false">IF(M30="","",ABS(M30-H30)*24)</f>
        <v/>
      </c>
      <c r="P30" s="11"/>
      <c r="Q30" s="67" t="s">
        <v>207</v>
      </c>
      <c r="R30" s="67" t="s">
        <v>208</v>
      </c>
      <c r="S30" s="67" t="s">
        <v>209</v>
      </c>
    </row>
    <row r="31" customFormat="false" ht="36" hidden="false" customHeight="true" outlineLevel="0" collapsed="false">
      <c r="A31" s="46" t="n">
        <v>26</v>
      </c>
      <c r="B31" s="47" t="s">
        <v>210</v>
      </c>
      <c r="C31" s="46" t="s">
        <v>211</v>
      </c>
      <c r="D31" s="48" t="s">
        <v>212</v>
      </c>
      <c r="E31" s="49" t="s">
        <v>213</v>
      </c>
      <c r="F31" s="46" t="s">
        <v>214</v>
      </c>
      <c r="G31" s="50" t="e">
        <f aca="false">ROUND(6*$H$3,0)</f>
        <v>#VALUE!</v>
      </c>
      <c r="H31" s="51" t="e">
        <f aca="false">$C$3+G31</f>
        <v>#VALUE!</v>
      </c>
      <c r="I31" s="52"/>
      <c r="J31" s="53" t="n">
        <f aca="false">IF(I31="Complete",1,IF(I31="Skipped",1,IF(I31="Blocked",0.5,IF(I31="In Progress",0.25,0))))</f>
        <v>0</v>
      </c>
      <c r="K31" s="54"/>
      <c r="L31" s="55"/>
      <c r="M31" s="56"/>
      <c r="N31" s="57" t="str">
        <f aca="false">IF(M31="","",M31-H31)</f>
        <v/>
      </c>
      <c r="O31" s="58" t="str">
        <f aca="false">IF(M31="","",ABS(M31-H31)*24)</f>
        <v/>
      </c>
      <c r="P31" s="46"/>
      <c r="Q31" s="59" t="s">
        <v>215</v>
      </c>
      <c r="R31" s="59" t="s">
        <v>216</v>
      </c>
      <c r="S31" s="59" t="s">
        <v>217</v>
      </c>
    </row>
    <row r="32" customFormat="false" ht="36" hidden="false" customHeight="true" outlineLevel="0" collapsed="false">
      <c r="A32" s="11" t="n">
        <v>27</v>
      </c>
      <c r="B32" s="64" t="s">
        <v>210</v>
      </c>
      <c r="C32" s="11" t="s">
        <v>218</v>
      </c>
      <c r="D32" s="65" t="s">
        <v>219</v>
      </c>
      <c r="E32" s="66" t="s">
        <v>220</v>
      </c>
      <c r="F32" s="11" t="s">
        <v>214</v>
      </c>
      <c r="G32" s="17" t="e">
        <f aca="false">ROUND(6*$H$3,0)</f>
        <v>#VALUE!</v>
      </c>
      <c r="H32" s="16" t="e">
        <f aca="false">$C$3+G32</f>
        <v>#VALUE!</v>
      </c>
      <c r="I32" s="52"/>
      <c r="J32" s="53" t="n">
        <f aca="false">IF(I32="Complete",1,IF(I32="Skipped",1,IF(I32="Blocked",0.5,IF(I32="In Progress",0.25,0))))</f>
        <v>0</v>
      </c>
      <c r="K32" s="54"/>
      <c r="L32" s="55"/>
      <c r="M32" s="56"/>
      <c r="N32" s="57" t="str">
        <f aca="false">IF(M32="","",M32-H32)</f>
        <v/>
      </c>
      <c r="O32" s="58" t="str">
        <f aca="false">IF(M32="","",ABS(M32-H32)*24)</f>
        <v/>
      </c>
      <c r="P32" s="11"/>
      <c r="Q32" s="67" t="s">
        <v>221</v>
      </c>
      <c r="R32" s="67" t="s">
        <v>222</v>
      </c>
      <c r="S32" s="67" t="s">
        <v>223</v>
      </c>
    </row>
    <row r="33" customFormat="false" ht="36" hidden="false" customHeight="true" outlineLevel="0" collapsed="false">
      <c r="A33" s="23" t="n">
        <v>28</v>
      </c>
      <c r="B33" s="60" t="s">
        <v>210</v>
      </c>
      <c r="C33" s="23" t="s">
        <v>224</v>
      </c>
      <c r="D33" s="61" t="s">
        <v>225</v>
      </c>
      <c r="E33" s="62" t="s">
        <v>226</v>
      </c>
      <c r="F33" s="23" t="s">
        <v>64</v>
      </c>
      <c r="G33" s="26" t="e">
        <f aca="false">ROUND(7*$H$3,0)</f>
        <v>#VALUE!</v>
      </c>
      <c r="H33" s="25" t="e">
        <f aca="false">$C$3+G33</f>
        <v>#VALUE!</v>
      </c>
      <c r="I33" s="52"/>
      <c r="J33" s="53" t="n">
        <f aca="false">IF(I33="Complete",1,IF(I33="Skipped",1,IF(I33="Blocked",0.5,IF(I33="In Progress",0.25,0))))</f>
        <v>0</v>
      </c>
      <c r="K33" s="54"/>
      <c r="L33" s="55"/>
      <c r="M33" s="56"/>
      <c r="N33" s="57" t="str">
        <f aca="false">IF(M33="","",M33-H33)</f>
        <v/>
      </c>
      <c r="O33" s="58" t="str">
        <f aca="false">IF(M33="","",ABS(M33-H33)*24)</f>
        <v/>
      </c>
      <c r="P33" s="23"/>
      <c r="Q33" s="63" t="s">
        <v>227</v>
      </c>
      <c r="R33" s="63" t="s">
        <v>228</v>
      </c>
      <c r="S33" s="63" t="s">
        <v>229</v>
      </c>
    </row>
    <row r="34" customFormat="false" ht="36" hidden="false" customHeight="true" outlineLevel="0" collapsed="false">
      <c r="A34" s="11" t="n">
        <v>29</v>
      </c>
      <c r="B34" s="64" t="s">
        <v>210</v>
      </c>
      <c r="C34" s="11" t="s">
        <v>230</v>
      </c>
      <c r="D34" s="65" t="s">
        <v>231</v>
      </c>
      <c r="E34" s="66" t="s">
        <v>232</v>
      </c>
      <c r="F34" s="11" t="s">
        <v>214</v>
      </c>
      <c r="G34" s="17" t="e">
        <f aca="false">ROUND(8*$H$3,0)</f>
        <v>#VALUE!</v>
      </c>
      <c r="H34" s="16" t="e">
        <f aca="false">$C$3+G34</f>
        <v>#VALUE!</v>
      </c>
      <c r="I34" s="52"/>
      <c r="J34" s="53" t="n">
        <f aca="false">IF(I34="Complete",1,IF(I34="Skipped",1,IF(I34="Blocked",0.5,IF(I34="In Progress",0.25,0))))</f>
        <v>0</v>
      </c>
      <c r="K34" s="54"/>
      <c r="L34" s="55"/>
      <c r="M34" s="56"/>
      <c r="N34" s="57" t="str">
        <f aca="false">IF(M34="","",M34-H34)</f>
        <v/>
      </c>
      <c r="O34" s="58" t="str">
        <f aca="false">IF(M34="","",ABS(M34-H34)*24)</f>
        <v/>
      </c>
      <c r="P34" s="11"/>
      <c r="Q34" s="67" t="s">
        <v>233</v>
      </c>
      <c r="R34" s="67" t="s">
        <v>66</v>
      </c>
      <c r="S34" s="67" t="s">
        <v>234</v>
      </c>
    </row>
    <row r="35" customFormat="false" ht="36" hidden="false" customHeight="true" outlineLevel="0" collapsed="false">
      <c r="A35" s="23" t="n">
        <v>30</v>
      </c>
      <c r="B35" s="60" t="s">
        <v>210</v>
      </c>
      <c r="C35" s="23" t="s">
        <v>235</v>
      </c>
      <c r="D35" s="61" t="s">
        <v>236</v>
      </c>
      <c r="E35" s="62" t="s">
        <v>237</v>
      </c>
      <c r="F35" s="23" t="s">
        <v>114</v>
      </c>
      <c r="G35" s="26" t="e">
        <f aca="false">ROUND(8*$H$3,0)</f>
        <v>#VALUE!</v>
      </c>
      <c r="H35" s="25" t="e">
        <f aca="false">$C$3+G35</f>
        <v>#VALUE!</v>
      </c>
      <c r="I35" s="52"/>
      <c r="J35" s="53" t="n">
        <f aca="false">IF(I35="Complete",1,IF(I35="Skipped",1,IF(I35="Blocked",0.5,IF(I35="In Progress",0.25,0))))</f>
        <v>0</v>
      </c>
      <c r="K35" s="54"/>
      <c r="L35" s="55"/>
      <c r="M35" s="56"/>
      <c r="N35" s="57" t="str">
        <f aca="false">IF(M35="","",M35-H35)</f>
        <v/>
      </c>
      <c r="O35" s="58" t="str">
        <f aca="false">IF(M35="","",ABS(M35-H35)*24)</f>
        <v/>
      </c>
      <c r="P35" s="23"/>
      <c r="Q35" s="63" t="s">
        <v>238</v>
      </c>
      <c r="R35" s="63" t="s">
        <v>239</v>
      </c>
      <c r="S35" s="63"/>
    </row>
    <row r="36" customFormat="false" ht="36" hidden="false" customHeight="true" outlineLevel="0" collapsed="false">
      <c r="A36" s="46" t="n">
        <v>31</v>
      </c>
      <c r="B36" s="47" t="s">
        <v>240</v>
      </c>
      <c r="C36" s="46" t="s">
        <v>241</v>
      </c>
      <c r="D36" s="48" t="s">
        <v>242</v>
      </c>
      <c r="E36" s="49" t="s">
        <v>243</v>
      </c>
      <c r="F36" s="46" t="s">
        <v>64</v>
      </c>
      <c r="G36" s="50" t="e">
        <f aca="false">ROUND(9*$H$3,0)</f>
        <v>#VALUE!</v>
      </c>
      <c r="H36" s="51" t="e">
        <f aca="false">$C$3+G36</f>
        <v>#VALUE!</v>
      </c>
      <c r="I36" s="52"/>
      <c r="J36" s="53" t="n">
        <f aca="false">IF(I36="Complete",1,IF(I36="Skipped",1,IF(I36="Blocked",0.5,IF(I36="In Progress",0.25,0))))</f>
        <v>0</v>
      </c>
      <c r="K36" s="54"/>
      <c r="L36" s="55"/>
      <c r="M36" s="56"/>
      <c r="N36" s="57" t="str">
        <f aca="false">IF(M36="","",M36-H36)</f>
        <v/>
      </c>
      <c r="O36" s="58" t="str">
        <f aca="false">IF(M36="","",ABS(M36-H36)*24)</f>
        <v/>
      </c>
      <c r="P36" s="46"/>
      <c r="Q36" s="59" t="s">
        <v>244</v>
      </c>
      <c r="R36" s="59" t="s">
        <v>245</v>
      </c>
      <c r="S36" s="59" t="s">
        <v>246</v>
      </c>
    </row>
    <row r="37" customFormat="false" ht="36" hidden="false" customHeight="true" outlineLevel="0" collapsed="false">
      <c r="A37" s="23" t="n">
        <v>32</v>
      </c>
      <c r="B37" s="60" t="s">
        <v>240</v>
      </c>
      <c r="C37" s="23" t="s">
        <v>247</v>
      </c>
      <c r="D37" s="61" t="s">
        <v>248</v>
      </c>
      <c r="E37" s="62" t="s">
        <v>249</v>
      </c>
      <c r="F37" s="23" t="s">
        <v>114</v>
      </c>
      <c r="G37" s="26" t="e">
        <f aca="false">ROUND(10*$H$3,0)</f>
        <v>#VALUE!</v>
      </c>
      <c r="H37" s="25" t="e">
        <f aca="false">$C$3+G37</f>
        <v>#VALUE!</v>
      </c>
      <c r="I37" s="52"/>
      <c r="J37" s="53" t="n">
        <f aca="false">IF(I37="Complete",1,IF(I37="Skipped",1,IF(I37="Blocked",0.5,IF(I37="In Progress",0.25,0))))</f>
        <v>0</v>
      </c>
      <c r="K37" s="54"/>
      <c r="L37" s="55"/>
      <c r="M37" s="56"/>
      <c r="N37" s="57" t="str">
        <f aca="false">IF(M37="","",M37-H37)</f>
        <v/>
      </c>
      <c r="O37" s="58" t="str">
        <f aca="false">IF(M37="","",ABS(M37-H37)*24)</f>
        <v/>
      </c>
      <c r="P37" s="23"/>
      <c r="Q37" s="63" t="s">
        <v>250</v>
      </c>
      <c r="R37" s="63" t="s">
        <v>251</v>
      </c>
      <c r="S37" s="63"/>
    </row>
    <row r="38" customFormat="false" ht="36" hidden="false" customHeight="true" outlineLevel="0" collapsed="false">
      <c r="A38" s="11" t="n">
        <v>33</v>
      </c>
      <c r="B38" s="64" t="s">
        <v>240</v>
      </c>
      <c r="C38" s="11" t="s">
        <v>252</v>
      </c>
      <c r="D38" s="65" t="s">
        <v>253</v>
      </c>
      <c r="E38" s="66" t="s">
        <v>254</v>
      </c>
      <c r="F38" s="11" t="s">
        <v>152</v>
      </c>
      <c r="G38" s="17" t="e">
        <f aca="false">ROUND(10*$H$3,0)</f>
        <v>#VALUE!</v>
      </c>
      <c r="H38" s="16" t="e">
        <f aca="false">$C$3+G38</f>
        <v>#VALUE!</v>
      </c>
      <c r="I38" s="52"/>
      <c r="J38" s="53" t="n">
        <f aca="false">IF(I38="Complete",1,IF(I38="Skipped",1,IF(I38="Blocked",0.5,IF(I38="In Progress",0.25,0))))</f>
        <v>0</v>
      </c>
      <c r="K38" s="54"/>
      <c r="L38" s="55"/>
      <c r="M38" s="56"/>
      <c r="N38" s="57" t="str">
        <f aca="false">IF(M38="","",M38-H38)</f>
        <v/>
      </c>
      <c r="O38" s="58" t="str">
        <f aca="false">IF(M38="","",ABS(M38-H38)*24)</f>
        <v/>
      </c>
      <c r="P38" s="11"/>
      <c r="Q38" s="67" t="s">
        <v>255</v>
      </c>
      <c r="R38" s="67" t="s">
        <v>256</v>
      </c>
      <c r="S38" s="67" t="s">
        <v>257</v>
      </c>
    </row>
    <row r="39" customFormat="false" ht="36" hidden="false" customHeight="true" outlineLevel="0" collapsed="false">
      <c r="A39" s="23" t="n">
        <v>34</v>
      </c>
      <c r="B39" s="60" t="s">
        <v>240</v>
      </c>
      <c r="C39" s="23" t="s">
        <v>258</v>
      </c>
      <c r="D39" s="61" t="s">
        <v>259</v>
      </c>
      <c r="E39" s="62" t="s">
        <v>260</v>
      </c>
      <c r="F39" s="23" t="s">
        <v>64</v>
      </c>
      <c r="G39" s="26" t="e">
        <f aca="false">ROUND(10*$H$3,0)</f>
        <v>#VALUE!</v>
      </c>
      <c r="H39" s="25" t="e">
        <f aca="false">$C$3+G39</f>
        <v>#VALUE!</v>
      </c>
      <c r="I39" s="52"/>
      <c r="J39" s="53" t="n">
        <f aca="false">IF(I39="Complete",1,IF(I39="Skipped",1,IF(I39="Blocked",0.5,IF(I39="In Progress",0.25,0))))</f>
        <v>0</v>
      </c>
      <c r="K39" s="54"/>
      <c r="L39" s="55"/>
      <c r="M39" s="56"/>
      <c r="N39" s="57" t="str">
        <f aca="false">IF(M39="","",M39-H39)</f>
        <v/>
      </c>
      <c r="O39" s="58" t="str">
        <f aca="false">IF(M39="","",ABS(M39-H39)*24)</f>
        <v/>
      </c>
      <c r="P39" s="23"/>
      <c r="Q39" s="63" t="s">
        <v>261</v>
      </c>
      <c r="R39" s="63" t="s">
        <v>262</v>
      </c>
      <c r="S39" s="63"/>
    </row>
    <row r="40" customFormat="false" ht="36" hidden="false" customHeight="true" outlineLevel="0" collapsed="false">
      <c r="A40" s="46" t="n">
        <v>35</v>
      </c>
      <c r="B40" s="47" t="s">
        <v>263</v>
      </c>
      <c r="C40" s="46" t="s">
        <v>264</v>
      </c>
      <c r="D40" s="48" t="s">
        <v>265</v>
      </c>
      <c r="E40" s="49" t="s">
        <v>266</v>
      </c>
      <c r="F40" s="46" t="s">
        <v>64</v>
      </c>
      <c r="G40" s="50" t="e">
        <f aca="false">ROUND(10*$H$3,0)</f>
        <v>#VALUE!</v>
      </c>
      <c r="H40" s="51" t="e">
        <f aca="false">$C$3+G40</f>
        <v>#VALUE!</v>
      </c>
      <c r="I40" s="52"/>
      <c r="J40" s="53" t="n">
        <f aca="false">IF(I40="Complete",1,IF(I40="Skipped",1,IF(I40="Blocked",0.5,IF(I40="In Progress",0.25,0))))</f>
        <v>0</v>
      </c>
      <c r="K40" s="54"/>
      <c r="L40" s="55"/>
      <c r="M40" s="56"/>
      <c r="N40" s="57" t="str">
        <f aca="false">IF(M40="","",M40-H40)</f>
        <v/>
      </c>
      <c r="O40" s="58" t="str">
        <f aca="false">IF(M40="","",ABS(M40-H40)*24)</f>
        <v/>
      </c>
      <c r="P40" s="46"/>
      <c r="Q40" s="59" t="s">
        <v>267</v>
      </c>
      <c r="R40" s="59" t="s">
        <v>268</v>
      </c>
      <c r="S40" s="59" t="s">
        <v>269</v>
      </c>
    </row>
    <row r="41" customFormat="false" ht="36" hidden="false" customHeight="true" outlineLevel="0" collapsed="false">
      <c r="A41" s="46" t="n">
        <v>36</v>
      </c>
      <c r="B41" s="47" t="s">
        <v>270</v>
      </c>
      <c r="C41" s="46" t="s">
        <v>271</v>
      </c>
      <c r="D41" s="48" t="s">
        <v>272</v>
      </c>
      <c r="E41" s="49" t="s">
        <v>273</v>
      </c>
      <c r="F41" s="46" t="s">
        <v>214</v>
      </c>
      <c r="G41" s="50" t="e">
        <f aca="false">ROUND(11*$H$3,0)</f>
        <v>#VALUE!</v>
      </c>
      <c r="H41" s="51" t="e">
        <f aca="false">$C$3+G41</f>
        <v>#VALUE!</v>
      </c>
      <c r="I41" s="52"/>
      <c r="J41" s="53" t="n">
        <f aca="false">IF(I41="Complete",1,IF(I41="Skipped",1,IF(I41="Blocked",0.5,IF(I41="In Progress",0.25,0))))</f>
        <v>0</v>
      </c>
      <c r="K41" s="54"/>
      <c r="L41" s="55"/>
      <c r="M41" s="56"/>
      <c r="N41" s="57" t="str">
        <f aca="false">IF(M41="","",M41-H41)</f>
        <v/>
      </c>
      <c r="O41" s="58" t="str">
        <f aca="false">IF(M41="","",ABS(M41-H41)*24)</f>
        <v/>
      </c>
      <c r="P41" s="46"/>
      <c r="Q41" s="59" t="s">
        <v>274</v>
      </c>
      <c r="R41" s="59" t="s">
        <v>275</v>
      </c>
      <c r="S41" s="59" t="s">
        <v>276</v>
      </c>
    </row>
    <row r="42" customFormat="false" ht="36" hidden="false" customHeight="true" outlineLevel="0" collapsed="false">
      <c r="A42" s="11" t="n">
        <v>37</v>
      </c>
      <c r="B42" s="64" t="s">
        <v>270</v>
      </c>
      <c r="C42" s="11" t="s">
        <v>277</v>
      </c>
      <c r="D42" s="65" t="s">
        <v>278</v>
      </c>
      <c r="E42" s="66" t="s">
        <v>279</v>
      </c>
      <c r="F42" s="11" t="s">
        <v>64</v>
      </c>
      <c r="G42" s="17" t="e">
        <f aca="false">ROUND(11*$H$3,0)</f>
        <v>#VALUE!</v>
      </c>
      <c r="H42" s="16" t="e">
        <f aca="false">$C$3+G42</f>
        <v>#VALUE!</v>
      </c>
      <c r="I42" s="52"/>
      <c r="J42" s="53" t="n">
        <f aca="false">IF(I42="Complete",1,IF(I42="Skipped",1,IF(I42="Blocked",0.5,IF(I42="In Progress",0.25,0))))</f>
        <v>0</v>
      </c>
      <c r="K42" s="54"/>
      <c r="L42" s="55"/>
      <c r="M42" s="56"/>
      <c r="N42" s="57" t="str">
        <f aca="false">IF(M42="","",M42-H42)</f>
        <v/>
      </c>
      <c r="O42" s="58" t="str">
        <f aca="false">IF(M42="","",ABS(M42-H42)*24)</f>
        <v/>
      </c>
      <c r="P42" s="11"/>
      <c r="Q42" s="67" t="s">
        <v>280</v>
      </c>
      <c r="R42" s="67" t="s">
        <v>281</v>
      </c>
      <c r="S42" s="67" t="s">
        <v>282</v>
      </c>
    </row>
    <row r="43" customFormat="false" ht="36" hidden="false" customHeight="true" outlineLevel="0" collapsed="false">
      <c r="A43" s="23" t="n">
        <v>38</v>
      </c>
      <c r="B43" s="60" t="s">
        <v>270</v>
      </c>
      <c r="C43" s="23" t="s">
        <v>283</v>
      </c>
      <c r="D43" s="61" t="s">
        <v>284</v>
      </c>
      <c r="E43" s="62" t="s">
        <v>285</v>
      </c>
      <c r="F43" s="23" t="s">
        <v>114</v>
      </c>
      <c r="G43" s="26" t="e">
        <f aca="false">ROUND(11*$H$3,0)</f>
        <v>#VALUE!</v>
      </c>
      <c r="H43" s="25" t="e">
        <f aca="false">$C$3+G43</f>
        <v>#VALUE!</v>
      </c>
      <c r="I43" s="52"/>
      <c r="J43" s="53" t="n">
        <f aca="false">IF(I43="Complete",1,IF(I43="Skipped",1,IF(I43="Blocked",0.5,IF(I43="In Progress",0.25,0))))</f>
        <v>0</v>
      </c>
      <c r="K43" s="54"/>
      <c r="L43" s="55"/>
      <c r="M43" s="56"/>
      <c r="N43" s="57" t="str">
        <f aca="false">IF(M43="","",M43-H43)</f>
        <v/>
      </c>
      <c r="O43" s="58" t="str">
        <f aca="false">IF(M43="","",ABS(M43-H43)*24)</f>
        <v/>
      </c>
      <c r="P43" s="23"/>
      <c r="Q43" s="63" t="s">
        <v>286</v>
      </c>
      <c r="R43" s="63" t="s">
        <v>287</v>
      </c>
      <c r="S43" s="63"/>
    </row>
    <row r="44" customFormat="false" ht="36" hidden="false" customHeight="true" outlineLevel="0" collapsed="false">
      <c r="A44" s="46" t="n">
        <v>39</v>
      </c>
      <c r="B44" s="47" t="s">
        <v>288</v>
      </c>
      <c r="C44" s="46" t="s">
        <v>289</v>
      </c>
      <c r="D44" s="48" t="s">
        <v>290</v>
      </c>
      <c r="E44" s="49" t="s">
        <v>291</v>
      </c>
      <c r="F44" s="46" t="s">
        <v>64</v>
      </c>
      <c r="G44" s="50" t="e">
        <f aca="false">ROUND(12*$H$3,0)</f>
        <v>#VALUE!</v>
      </c>
      <c r="H44" s="51" t="e">
        <f aca="false">$C$3+G44</f>
        <v>#VALUE!</v>
      </c>
      <c r="I44" s="52"/>
      <c r="J44" s="53" t="n">
        <f aca="false">IF(I44="Complete",1,IF(I44="Skipped",1,IF(I44="Blocked",0.5,IF(I44="In Progress",0.25,0))))</f>
        <v>0</v>
      </c>
      <c r="K44" s="54"/>
      <c r="L44" s="55"/>
      <c r="M44" s="56"/>
      <c r="N44" s="57" t="str">
        <f aca="false">IF(M44="","",M44-H44)</f>
        <v/>
      </c>
      <c r="O44" s="58" t="str">
        <f aca="false">IF(M44="","",ABS(M44-H44)*24)</f>
        <v/>
      </c>
      <c r="P44" s="46"/>
      <c r="Q44" s="59" t="s">
        <v>292</v>
      </c>
      <c r="R44" s="59" t="s">
        <v>293</v>
      </c>
      <c r="S44" s="59" t="s">
        <v>294</v>
      </c>
    </row>
    <row r="45" customFormat="false" ht="36" hidden="false" customHeight="true" outlineLevel="0" collapsed="false">
      <c r="A45" s="23" t="n">
        <v>40</v>
      </c>
      <c r="B45" s="60" t="s">
        <v>288</v>
      </c>
      <c r="C45" s="23" t="s">
        <v>295</v>
      </c>
      <c r="D45" s="61" t="s">
        <v>296</v>
      </c>
      <c r="E45" s="62" t="s">
        <v>297</v>
      </c>
      <c r="F45" s="23" t="s">
        <v>64</v>
      </c>
      <c r="G45" s="26" t="e">
        <f aca="false">ROUND(12*$H$3,0)</f>
        <v>#VALUE!</v>
      </c>
      <c r="H45" s="25" t="e">
        <f aca="false">$C$3+G45</f>
        <v>#VALUE!</v>
      </c>
      <c r="I45" s="52"/>
      <c r="J45" s="53" t="n">
        <f aca="false">IF(I45="Complete",1,IF(I45="Skipped",1,IF(I45="Blocked",0.5,IF(I45="In Progress",0.25,0))))</f>
        <v>0</v>
      </c>
      <c r="K45" s="54"/>
      <c r="L45" s="55"/>
      <c r="M45" s="56"/>
      <c r="N45" s="57" t="str">
        <f aca="false">IF(M45="","",M45-H45)</f>
        <v/>
      </c>
      <c r="O45" s="58" t="str">
        <f aca="false">IF(M45="","",ABS(M45-H45)*24)</f>
        <v/>
      </c>
      <c r="P45" s="23"/>
      <c r="Q45" s="63" t="s">
        <v>298</v>
      </c>
      <c r="R45" s="63" t="s">
        <v>299</v>
      </c>
      <c r="S45" s="63" t="s">
        <v>300</v>
      </c>
    </row>
    <row r="46" customFormat="false" ht="36" hidden="false" customHeight="true" outlineLevel="0" collapsed="false">
      <c r="A46" s="11" t="n">
        <v>41</v>
      </c>
      <c r="B46" s="64" t="s">
        <v>288</v>
      </c>
      <c r="C46" s="11" t="s">
        <v>301</v>
      </c>
      <c r="D46" s="65" t="s">
        <v>302</v>
      </c>
      <c r="E46" s="66" t="s">
        <v>303</v>
      </c>
      <c r="F46" s="11" t="s">
        <v>114</v>
      </c>
      <c r="G46" s="17" t="e">
        <f aca="false">ROUND(12*$H$3,0)</f>
        <v>#VALUE!</v>
      </c>
      <c r="H46" s="16" t="e">
        <f aca="false">$C$3+G46</f>
        <v>#VALUE!</v>
      </c>
      <c r="I46" s="52"/>
      <c r="J46" s="53" t="n">
        <f aca="false">IF(I46="Complete",1,IF(I46="Skipped",1,IF(I46="Blocked",0.5,IF(I46="In Progress",0.25,0))))</f>
        <v>0</v>
      </c>
      <c r="K46" s="54"/>
      <c r="L46" s="55"/>
      <c r="M46" s="56"/>
      <c r="N46" s="57" t="str">
        <f aca="false">IF(M46="","",M46-H46)</f>
        <v/>
      </c>
      <c r="O46" s="58" t="str">
        <f aca="false">IF(M46="","",ABS(M46-H46)*24)</f>
        <v/>
      </c>
      <c r="P46" s="11"/>
      <c r="Q46" s="67" t="s">
        <v>304</v>
      </c>
      <c r="R46" s="67" t="s">
        <v>305</v>
      </c>
      <c r="S46" s="67" t="s">
        <v>306</v>
      </c>
    </row>
    <row r="47" customFormat="false" ht="36" hidden="false" customHeight="true" outlineLevel="0" collapsed="false">
      <c r="A47" s="23" t="n">
        <v>42</v>
      </c>
      <c r="B47" s="60" t="s">
        <v>288</v>
      </c>
      <c r="C47" s="23" t="s">
        <v>307</v>
      </c>
      <c r="D47" s="61" t="s">
        <v>308</v>
      </c>
      <c r="E47" s="62" t="s">
        <v>309</v>
      </c>
      <c r="F47" s="23" t="s">
        <v>64</v>
      </c>
      <c r="G47" s="26" t="e">
        <f aca="false">ROUND(13*$H$3,0)</f>
        <v>#VALUE!</v>
      </c>
      <c r="H47" s="25" t="e">
        <f aca="false">$C$3+G47</f>
        <v>#VALUE!</v>
      </c>
      <c r="I47" s="52"/>
      <c r="J47" s="53" t="n">
        <f aca="false">IF(I47="Complete",1,IF(I47="Skipped",1,IF(I47="Blocked",0.5,IF(I47="In Progress",0.25,0))))</f>
        <v>0</v>
      </c>
      <c r="K47" s="54"/>
      <c r="L47" s="55"/>
      <c r="M47" s="56"/>
      <c r="N47" s="57" t="str">
        <f aca="false">IF(M47="","",M47-H47)</f>
        <v/>
      </c>
      <c r="O47" s="58" t="str">
        <f aca="false">IF(M47="","",ABS(M47-H47)*24)</f>
        <v/>
      </c>
      <c r="P47" s="23"/>
      <c r="Q47" s="63" t="s">
        <v>310</v>
      </c>
      <c r="R47" s="63" t="s">
        <v>311</v>
      </c>
      <c r="S47" s="63" t="s">
        <v>312</v>
      </c>
    </row>
    <row r="48" customFormat="false" ht="36" hidden="false" customHeight="true" outlineLevel="0" collapsed="false">
      <c r="A48" s="11" t="n">
        <v>43</v>
      </c>
      <c r="B48" s="64" t="s">
        <v>288</v>
      </c>
      <c r="C48" s="11" t="s">
        <v>313</v>
      </c>
      <c r="D48" s="65" t="s">
        <v>314</v>
      </c>
      <c r="E48" s="66" t="s">
        <v>315</v>
      </c>
      <c r="F48" s="11" t="s">
        <v>214</v>
      </c>
      <c r="G48" s="17" t="e">
        <f aca="false">ROUND(13*$H$3,0)</f>
        <v>#VALUE!</v>
      </c>
      <c r="H48" s="16" t="e">
        <f aca="false">$C$3+G48</f>
        <v>#VALUE!</v>
      </c>
      <c r="I48" s="52"/>
      <c r="J48" s="53" t="n">
        <f aca="false">IF(I48="Complete",1,IF(I48="Skipped",1,IF(I48="Blocked",0.5,IF(I48="In Progress",0.25,0))))</f>
        <v>0</v>
      </c>
      <c r="K48" s="54"/>
      <c r="L48" s="55"/>
      <c r="M48" s="56"/>
      <c r="N48" s="57" t="str">
        <f aca="false">IF(M48="","",M48-H48)</f>
        <v/>
      </c>
      <c r="O48" s="58" t="str">
        <f aca="false">IF(M48="","",ABS(M48-H48)*24)</f>
        <v/>
      </c>
      <c r="P48" s="11"/>
      <c r="Q48" s="67" t="s">
        <v>316</v>
      </c>
      <c r="R48" s="67" t="s">
        <v>317</v>
      </c>
      <c r="S48" s="67" t="s">
        <v>318</v>
      </c>
    </row>
    <row r="49" customFormat="false" ht="36" hidden="false" customHeight="true" outlineLevel="0" collapsed="false">
      <c r="A49" s="23" t="n">
        <v>44</v>
      </c>
      <c r="B49" s="60" t="s">
        <v>288</v>
      </c>
      <c r="C49" s="23" t="s">
        <v>319</v>
      </c>
      <c r="D49" s="61" t="s">
        <v>320</v>
      </c>
      <c r="E49" s="62" t="s">
        <v>321</v>
      </c>
      <c r="F49" s="23" t="s">
        <v>64</v>
      </c>
      <c r="G49" s="26" t="e">
        <f aca="false">ROUND(14*$H$3,0)</f>
        <v>#VALUE!</v>
      </c>
      <c r="H49" s="25" t="e">
        <f aca="false">$C$3+G49</f>
        <v>#VALUE!</v>
      </c>
      <c r="I49" s="52"/>
      <c r="J49" s="53" t="n">
        <f aca="false">IF(I49="Complete",1,IF(I49="Skipped",1,IF(I49="Blocked",0.5,IF(I49="In Progress",0.25,0))))</f>
        <v>0</v>
      </c>
      <c r="K49" s="54"/>
      <c r="L49" s="55"/>
      <c r="M49" s="56"/>
      <c r="N49" s="57" t="str">
        <f aca="false">IF(M49="","",M49-H49)</f>
        <v/>
      </c>
      <c r="O49" s="58" t="str">
        <f aca="false">IF(M49="","",ABS(M49-H49)*24)</f>
        <v/>
      </c>
      <c r="P49" s="23"/>
      <c r="Q49" s="63" t="s">
        <v>322</v>
      </c>
      <c r="R49" s="63" t="s">
        <v>323</v>
      </c>
      <c r="S49" s="63" t="s">
        <v>324</v>
      </c>
    </row>
    <row r="50" customFormat="false" ht="36" hidden="false" customHeight="true" outlineLevel="0" collapsed="false">
      <c r="A50" s="11" t="n">
        <v>45</v>
      </c>
      <c r="B50" s="64" t="s">
        <v>288</v>
      </c>
      <c r="C50" s="11" t="s">
        <v>325</v>
      </c>
      <c r="D50" s="65" t="s">
        <v>326</v>
      </c>
      <c r="E50" s="66" t="s">
        <v>327</v>
      </c>
      <c r="F50" s="11" t="s">
        <v>64</v>
      </c>
      <c r="G50" s="17" t="e">
        <f aca="false">ROUND(14*$H$3,0)</f>
        <v>#VALUE!</v>
      </c>
      <c r="H50" s="16" t="e">
        <f aca="false">$C$3+G50</f>
        <v>#VALUE!</v>
      </c>
      <c r="I50" s="52"/>
      <c r="J50" s="53" t="n">
        <f aca="false">IF(I50="Complete",1,IF(I50="Skipped",1,IF(I50="Blocked",0.5,IF(I50="In Progress",0.25,0))))</f>
        <v>0</v>
      </c>
      <c r="K50" s="54"/>
      <c r="L50" s="55"/>
      <c r="M50" s="56"/>
      <c r="N50" s="57" t="str">
        <f aca="false">IF(M50="","",M50-H50)</f>
        <v/>
      </c>
      <c r="O50" s="58" t="str">
        <f aca="false">IF(M50="","",ABS(M50-H50)*24)</f>
        <v/>
      </c>
      <c r="P50" s="11"/>
      <c r="Q50" s="67" t="s">
        <v>328</v>
      </c>
      <c r="R50" s="67" t="s">
        <v>66</v>
      </c>
      <c r="S50" s="67" t="s">
        <v>329</v>
      </c>
    </row>
    <row r="51" customFormat="false" ht="36" hidden="false" customHeight="true" outlineLevel="0" collapsed="false">
      <c r="A51" s="23" t="n">
        <v>46</v>
      </c>
      <c r="B51" s="60" t="s">
        <v>288</v>
      </c>
      <c r="C51" s="23" t="s">
        <v>330</v>
      </c>
      <c r="D51" s="61" t="s">
        <v>331</v>
      </c>
      <c r="E51" s="62" t="s">
        <v>332</v>
      </c>
      <c r="F51" s="23" t="s">
        <v>114</v>
      </c>
      <c r="G51" s="26" t="e">
        <f aca="false">ROUND(14*$H$3,0)</f>
        <v>#VALUE!</v>
      </c>
      <c r="H51" s="25" t="e">
        <f aca="false">$C$3+G51</f>
        <v>#VALUE!</v>
      </c>
      <c r="I51" s="52"/>
      <c r="J51" s="53" t="n">
        <f aca="false">IF(I51="Complete",1,IF(I51="Skipped",1,IF(I51="Blocked",0.5,IF(I51="In Progress",0.25,0))))</f>
        <v>0</v>
      </c>
      <c r="K51" s="54"/>
      <c r="L51" s="55"/>
      <c r="M51" s="56"/>
      <c r="N51" s="57" t="str">
        <f aca="false">IF(M51="","",M51-H51)</f>
        <v/>
      </c>
      <c r="O51" s="58" t="str">
        <f aca="false">IF(M51="","",ABS(M51-H51)*24)</f>
        <v/>
      </c>
      <c r="P51" s="23"/>
      <c r="Q51" s="63" t="s">
        <v>333</v>
      </c>
      <c r="R51" s="63" t="s">
        <v>116</v>
      </c>
      <c r="S51" s="63" t="s">
        <v>334</v>
      </c>
    </row>
    <row r="53" customFormat="false" ht="15" hidden="false" customHeight="true" outlineLevel="0" collapsed="false">
      <c r="A53" s="9" t="s">
        <v>335</v>
      </c>
      <c r="B53" s="9"/>
      <c r="C53" s="9"/>
      <c r="D53" s="9"/>
      <c r="E53" s="9"/>
      <c r="F53" s="9"/>
      <c r="G53" s="31"/>
      <c r="H53" s="31"/>
      <c r="I53" s="68" t="s">
        <v>336</v>
      </c>
      <c r="J53" s="69" t="n">
        <f aca="false">AVERAGE(J6:J51)</f>
        <v>0</v>
      </c>
      <c r="K53" s="31"/>
      <c r="L53" s="68" t="s">
        <v>337</v>
      </c>
      <c r="M53" s="9" t="n">
        <f aca="false">SUMPRODUCT((M6:M51&lt;&gt;"")*1)</f>
        <v>0</v>
      </c>
      <c r="N53" s="31"/>
      <c r="O53" s="33" t="n">
        <f aca="false">SUM(O6:O51)</f>
        <v>0</v>
      </c>
      <c r="P53" s="31"/>
      <c r="Q53" s="31"/>
      <c r="R53" s="31"/>
      <c r="S53" s="31"/>
    </row>
    <row r="54" customFormat="false" ht="15" hidden="false" customHeight="false" outlineLevel="0" collapsed="false">
      <c r="M54" s="70" t="s">
        <v>338</v>
      </c>
      <c r="N54" s="71" t="str">
        <f aca="false">IFERROR(AVERAGE(N6:N51),"")</f>
        <v/>
      </c>
    </row>
    <row r="55" customFormat="false" ht="15" hidden="false" customHeight="false" outlineLevel="0" collapsed="false">
      <c r="M55" s="70" t="s">
        <v>339</v>
      </c>
      <c r="N55" s="72" t="n">
        <f aca="false">IFERROR(MAX(N6:N51),"")</f>
        <v>0</v>
      </c>
    </row>
  </sheetData>
  <autoFilter ref="A5:S5"/>
  <mergeCells count="5">
    <mergeCell ref="A1:S1"/>
    <mergeCell ref="A3:B3"/>
    <mergeCell ref="E3:F3"/>
    <mergeCell ref="I3:J3"/>
    <mergeCell ref="A53:F53"/>
  </mergeCells>
  <conditionalFormatting sqref="I6:I51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0">
      <formula>"Skipped"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2">
      <formula>"In Progress"</formula>
    </cfRule>
  </conditionalFormatting>
  <conditionalFormatting sqref="J6:J51">
    <cfRule type="expression" priority="6" aboveAverage="0" equalAverage="0" bottom="0" percent="0" rank="0" text="" dxfId="14">
      <formula>$J6=1</formula>
    </cfRule>
    <cfRule type="expression" priority="7" aboveAverage="0" equalAverage="0" bottom="0" percent="0" rank="0" text="" dxfId="15">
      <formula>$J6&gt;=0.5</formula>
    </cfRule>
    <cfRule type="expression" priority="8" aboveAverage="0" equalAverage="0" bottom="0" percent="0" rank="0" text="" dxfId="16">
      <formula>$J6&gt;=0.25</formula>
    </cfRule>
  </conditionalFormatting>
  <conditionalFormatting sqref="K6:K51">
    <cfRule type="expression" priority="9" aboveAverage="0" equalAverage="0" bottom="0" percent="0" rank="0" text="" dxfId="17">
      <formula>AND($I6="Complete",$K6="")</formula>
    </cfRule>
    <cfRule type="expression" priority="10" aboveAverage="0" equalAverage="0" bottom="0" percent="0" rank="0" text="" dxfId="14">
      <formula>AND(OR($I6="Complete",$I6="Skipped"),$K6&lt;&gt;"")</formula>
    </cfRule>
  </conditionalFormatting>
  <conditionalFormatting sqref="L6:L51">
    <cfRule type="expression" priority="11" aboveAverage="0" equalAverage="0" bottom="0" percent="0" rank="0" text="" dxfId="17">
      <formula>AND($I6="Complete",$L6="")</formula>
    </cfRule>
    <cfRule type="expression" priority="12" aboveAverage="0" equalAverage="0" bottom="0" percent="0" rank="0" text="" dxfId="18">
      <formula>AND($I6="In Progress",$L6="")</formula>
    </cfRule>
  </conditionalFormatting>
  <conditionalFormatting sqref="M6:M51">
    <cfRule type="expression" priority="13" aboveAverage="0" equalAverage="0" bottom="0" percent="0" rank="0" text="" dxfId="17">
      <formula>AND($I6="Complete",$M6="")</formula>
    </cfRule>
    <cfRule type="expression" priority="14" aboveAverage="0" equalAverage="0" bottom="0" percent="0" rank="0" text="" dxfId="14">
      <formula>AND($I6="Complete",$M6&lt;&gt;"")</formula>
    </cfRule>
  </conditionalFormatting>
  <conditionalFormatting sqref="A6:S51">
    <cfRule type="expression" priority="15" aboveAverage="0" equalAverage="0" bottom="0" percent="0" rank="0" text="" dxfId="19">
      <formula>AND($M6&lt;&gt;"",$N6&gt;=5)</formula>
    </cfRule>
    <cfRule type="expression" priority="16" aboveAverage="0" equalAverage="0" bottom="0" percent="0" rank="0" text="" dxfId="19">
      <formula>AND($M6&lt;&gt;"",$N6&gt;=4)</formula>
    </cfRule>
    <cfRule type="expression" priority="17" aboveAverage="0" equalAverage="0" bottom="0" percent="0" rank="0" text="" dxfId="20">
      <formula>AND($M6&lt;&gt;"",$N6&gt;=3)</formula>
    </cfRule>
    <cfRule type="expression" priority="18" aboveAverage="0" equalAverage="0" bottom="0" percent="0" rank="0" text="" dxfId="20">
      <formula>AND($M6&lt;&gt;"",$N6&gt;=2)</formula>
    </cfRule>
    <cfRule type="expression" priority="19" aboveAverage="0" equalAverage="0" bottom="0" percent="0" rank="0" text="" dxfId="21">
      <formula>AND($M6&lt;&gt;"",$N6&gt;=1)</formula>
    </cfRule>
    <cfRule type="expression" priority="20" aboveAverage="0" equalAverage="0" bottom="0" percent="0" rank="0" text="" dxfId="22">
      <formula>AND($M6&lt;&gt;"",$N6&lt;=0)</formula>
    </cfRule>
  </conditionalFormatting>
  <conditionalFormatting sqref="N6:N51">
    <cfRule type="expression" priority="21" aboveAverage="0" equalAverage="0" bottom="0" percent="0" rank="0" text="" dxfId="23">
      <formula>AND($M6&lt;&gt;"",$N6&gt;=5)</formula>
    </cfRule>
    <cfRule type="expression" priority="22" aboveAverage="0" equalAverage="0" bottom="0" percent="0" rank="0" text="" dxfId="24">
      <formula>AND($M6&lt;&gt;"",$N6&gt;=3)</formula>
    </cfRule>
    <cfRule type="expression" priority="23" aboveAverage="0" equalAverage="0" bottom="0" percent="0" rank="0" text="" dxfId="25">
      <formula>AND($M6&lt;&gt;"",$N6&gt;=1)</formula>
    </cfRule>
    <cfRule type="expression" priority="24" aboveAverage="0" equalAverage="0" bottom="0" percent="0" rank="0" text="" dxfId="26">
      <formula>AND($M6&lt;&gt;"",$N6&lt;=0)</formula>
    </cfRule>
  </conditionalFormatting>
  <dataValidations count="3">
    <dataValidation allowBlank="true" errorStyle="stop" operator="between" prompt="Complete needs: sign-off name + report link + completed date" promptTitle="Status" showDropDown="false" showErrorMessage="false" showInputMessage="true" sqref="I6:I51" type="list">
      <formula1>"Not Started,In Progress,Blocked,Complete,Skipped"</formula1>
      <formula2>0</formula2>
    </dataValidation>
    <dataValidation allowBlank="true" errorStyle="stop" operator="between" prompt="Select team member" promptTitle="Sign Off" showDropDown="false" showErrorMessage="false" showInputMessage="true" sqref="K6:K51" type="list">
      <formula1>TeamMembers</formula1>
      <formula2>0</formula2>
    </dataValidation>
    <dataValidation allowBlank="true" error="Enter a valid date (YYYY-MM-DD)" errorStyle="stop" errorTitle="Invalid Date" operator="greaterThan" prompt="Type the completion date (YYYY-MM-DD)" promptTitle="Completed Date" showDropDown="false" showErrorMessage="true" showInputMessage="true" sqref="M6:M51" type="date">
      <formula1>2020-1-1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tru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4" min="14" style="0" width="7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46"/>
    <col collapsed="false" customWidth="true" hidden="false" outlineLevel="0" max="19" min="18" style="0" width="38"/>
  </cols>
  <sheetData>
    <row r="1" customFormat="false" ht="17.35" hidden="false" customHeight="false" outlineLevel="0" collapsed="false">
      <c r="A1" s="1" t="str">
        <f aca="false">IF(Config!B11&lt;&gt;"",Config!B11&amp;" — DNS, Certificate &amp; SSO Migration Runbook","Project 6 — Assign name on Config sheet")</f>
        <v>Project 6 — Assign name on Config sheet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27.75" hidden="false" customHeight="true" outlineLevel="0" collapsed="false">
      <c r="A3" s="35" t="s">
        <v>40</v>
      </c>
      <c r="B3" s="35"/>
      <c r="C3" s="36" t="n">
        <f aca="false">Config!C11</f>
        <v>0</v>
      </c>
      <c r="D3" s="35" t="s">
        <v>41</v>
      </c>
      <c r="E3" s="37" t="n">
        <f aca="false">Config!D11</f>
        <v>0</v>
      </c>
      <c r="F3" s="37"/>
      <c r="G3" s="35" t="s">
        <v>42</v>
      </c>
      <c r="H3" s="38" t="str">
        <f aca="false">Config!E11</f>
        <v/>
      </c>
      <c r="I3" s="35" t="s">
        <v>43</v>
      </c>
      <c r="J3" s="35"/>
      <c r="K3" s="36" t="str">
        <f aca="false">Config!F11</f>
        <v/>
      </c>
      <c r="L3" s="35" t="s">
        <v>44</v>
      </c>
      <c r="M3" s="39" t="str">
        <f aca="false">Config!G11</f>
        <v/>
      </c>
      <c r="N3" s="40"/>
      <c r="O3" s="40"/>
      <c r="P3" s="40"/>
      <c r="Q3" s="40"/>
      <c r="R3" s="40"/>
      <c r="S3" s="40"/>
    </row>
    <row r="5" customFormat="false" ht="35.05" hidden="false" customHeight="false" outlineLevel="0" collapsed="false">
      <c r="A5" s="9" t="s">
        <v>10</v>
      </c>
      <c r="B5" s="9" t="s">
        <v>45</v>
      </c>
      <c r="C5" s="9" t="s">
        <v>46</v>
      </c>
      <c r="D5" s="9" t="s">
        <v>47</v>
      </c>
      <c r="E5" s="9" t="s">
        <v>48</v>
      </c>
      <c r="F5" s="9" t="s">
        <v>49</v>
      </c>
      <c r="G5" s="9" t="s">
        <v>50</v>
      </c>
      <c r="H5" s="9" t="s">
        <v>51</v>
      </c>
      <c r="I5" s="41" t="s">
        <v>20</v>
      </c>
      <c r="J5" s="42" t="s">
        <v>17</v>
      </c>
      <c r="K5" s="43" t="s">
        <v>52</v>
      </c>
      <c r="L5" s="44" t="s">
        <v>53</v>
      </c>
      <c r="M5" s="45" t="s">
        <v>18</v>
      </c>
      <c r="N5" s="9" t="s">
        <v>54</v>
      </c>
      <c r="O5" s="9" t="s">
        <v>55</v>
      </c>
      <c r="P5" s="9" t="s">
        <v>56</v>
      </c>
      <c r="Q5" s="9" t="s">
        <v>57</v>
      </c>
      <c r="R5" s="9" t="s">
        <v>58</v>
      </c>
      <c r="S5" s="9" t="s">
        <v>59</v>
      </c>
    </row>
    <row r="6" customFormat="false" ht="36" hidden="false" customHeight="true" outlineLevel="0" collapsed="false">
      <c r="A6" s="46" t="n">
        <v>1</v>
      </c>
      <c r="B6" s="47" t="s">
        <v>60</v>
      </c>
      <c r="C6" s="46" t="s">
        <v>61</v>
      </c>
      <c r="D6" s="48" t="s">
        <v>62</v>
      </c>
      <c r="E6" s="49" t="s">
        <v>63</v>
      </c>
      <c r="F6" s="46" t="s">
        <v>64</v>
      </c>
      <c r="G6" s="50" t="e">
        <f aca="false">ROUND(0*$H$3,0)</f>
        <v>#VALUE!</v>
      </c>
      <c r="H6" s="51" t="e">
        <f aca="false">$C$3+G6</f>
        <v>#VALUE!</v>
      </c>
      <c r="I6" s="52"/>
      <c r="J6" s="53" t="n">
        <f aca="false">IF(I6="Complete",1,IF(I6="Skipped",1,IF(I6="Blocked",0.5,IF(I6="In Progress",0.25,0))))</f>
        <v>0</v>
      </c>
      <c r="K6" s="54"/>
      <c r="L6" s="55"/>
      <c r="M6" s="56"/>
      <c r="N6" s="57" t="str">
        <f aca="false">IF(M6="","",M6-H6)</f>
        <v/>
      </c>
      <c r="O6" s="58" t="str">
        <f aca="false">IF(M6="","",ABS(M6-H6)*24)</f>
        <v/>
      </c>
      <c r="P6" s="46"/>
      <c r="Q6" s="59" t="s">
        <v>65</v>
      </c>
      <c r="R6" s="59" t="s">
        <v>66</v>
      </c>
      <c r="S6" s="59" t="s">
        <v>67</v>
      </c>
    </row>
    <row r="7" customFormat="false" ht="36" hidden="false" customHeight="true" outlineLevel="0" collapsed="false">
      <c r="A7" s="23" t="n">
        <v>2</v>
      </c>
      <c r="B7" s="60" t="s">
        <v>60</v>
      </c>
      <c r="C7" s="23" t="s">
        <v>68</v>
      </c>
      <c r="D7" s="61" t="s">
        <v>69</v>
      </c>
      <c r="E7" s="62" t="s">
        <v>70</v>
      </c>
      <c r="F7" s="23" t="s">
        <v>64</v>
      </c>
      <c r="G7" s="26" t="e">
        <f aca="false">ROUND(0*$H$3,0)</f>
        <v>#VALUE!</v>
      </c>
      <c r="H7" s="25" t="e">
        <f aca="false">$C$3+G7</f>
        <v>#VALUE!</v>
      </c>
      <c r="I7" s="52"/>
      <c r="J7" s="53" t="n">
        <f aca="false">IF(I7="Complete",1,IF(I7="Skipped",1,IF(I7="Blocked",0.5,IF(I7="In Progress",0.25,0))))</f>
        <v>0</v>
      </c>
      <c r="K7" s="54"/>
      <c r="L7" s="55"/>
      <c r="M7" s="56"/>
      <c r="N7" s="57" t="str">
        <f aca="false">IF(M7="","",M7-H7)</f>
        <v/>
      </c>
      <c r="O7" s="58" t="str">
        <f aca="false">IF(M7="","",ABS(M7-H7)*24)</f>
        <v/>
      </c>
      <c r="P7" s="23"/>
      <c r="Q7" s="63" t="s">
        <v>71</v>
      </c>
      <c r="R7" s="63" t="s">
        <v>66</v>
      </c>
      <c r="S7" s="63" t="s">
        <v>72</v>
      </c>
    </row>
    <row r="8" customFormat="false" ht="36" hidden="false" customHeight="true" outlineLevel="0" collapsed="false">
      <c r="A8" s="11" t="n">
        <v>3</v>
      </c>
      <c r="B8" s="64" t="s">
        <v>60</v>
      </c>
      <c r="C8" s="11" t="s">
        <v>73</v>
      </c>
      <c r="D8" s="65" t="s">
        <v>74</v>
      </c>
      <c r="E8" s="66" t="s">
        <v>75</v>
      </c>
      <c r="F8" s="11" t="s">
        <v>64</v>
      </c>
      <c r="G8" s="17" t="e">
        <f aca="false">ROUND(0*$H$3,0)</f>
        <v>#VALUE!</v>
      </c>
      <c r="H8" s="16" t="e">
        <f aca="false">$C$3+G8</f>
        <v>#VALUE!</v>
      </c>
      <c r="I8" s="52"/>
      <c r="J8" s="53" t="n">
        <f aca="false">IF(I8="Complete",1,IF(I8="Skipped",1,IF(I8="Blocked",0.5,IF(I8="In Progress",0.25,0))))</f>
        <v>0</v>
      </c>
      <c r="K8" s="54"/>
      <c r="L8" s="55"/>
      <c r="M8" s="56"/>
      <c r="N8" s="57" t="str">
        <f aca="false">IF(M8="","",M8-H8)</f>
        <v/>
      </c>
      <c r="O8" s="58" t="str">
        <f aca="false">IF(M8="","",ABS(M8-H8)*24)</f>
        <v/>
      </c>
      <c r="P8" s="11"/>
      <c r="Q8" s="67" t="s">
        <v>76</v>
      </c>
      <c r="R8" s="67" t="s">
        <v>66</v>
      </c>
      <c r="S8" s="67" t="s">
        <v>77</v>
      </c>
    </row>
    <row r="9" customFormat="false" ht="36" hidden="false" customHeight="true" outlineLevel="0" collapsed="false">
      <c r="A9" s="23" t="n">
        <v>4</v>
      </c>
      <c r="B9" s="60" t="s">
        <v>60</v>
      </c>
      <c r="C9" s="23" t="s">
        <v>78</v>
      </c>
      <c r="D9" s="61" t="s">
        <v>79</v>
      </c>
      <c r="E9" s="62" t="s">
        <v>80</v>
      </c>
      <c r="F9" s="23" t="s">
        <v>64</v>
      </c>
      <c r="G9" s="26" t="e">
        <f aca="false">ROUND(1*$H$3,0)</f>
        <v>#VALUE!</v>
      </c>
      <c r="H9" s="25" t="e">
        <f aca="false">$C$3+G9</f>
        <v>#VALUE!</v>
      </c>
      <c r="I9" s="52"/>
      <c r="J9" s="53" t="n">
        <f aca="false">IF(I9="Complete",1,IF(I9="Skipped",1,IF(I9="Blocked",0.5,IF(I9="In Progress",0.25,0))))</f>
        <v>0</v>
      </c>
      <c r="K9" s="54"/>
      <c r="L9" s="55"/>
      <c r="M9" s="56"/>
      <c r="N9" s="57" t="str">
        <f aca="false">IF(M9="","",M9-H9)</f>
        <v/>
      </c>
      <c r="O9" s="58" t="str">
        <f aca="false">IF(M9="","",ABS(M9-H9)*24)</f>
        <v/>
      </c>
      <c r="P9" s="23"/>
      <c r="Q9" s="63" t="s">
        <v>81</v>
      </c>
      <c r="R9" s="63" t="s">
        <v>66</v>
      </c>
      <c r="S9" s="63" t="s">
        <v>82</v>
      </c>
    </row>
    <row r="10" customFormat="false" ht="36" hidden="false" customHeight="true" outlineLevel="0" collapsed="false">
      <c r="A10" s="11" t="n">
        <v>5</v>
      </c>
      <c r="B10" s="64" t="s">
        <v>60</v>
      </c>
      <c r="C10" s="11" t="s">
        <v>83</v>
      </c>
      <c r="D10" s="65" t="s">
        <v>84</v>
      </c>
      <c r="E10" s="66" t="s">
        <v>85</v>
      </c>
      <c r="F10" s="11" t="s">
        <v>64</v>
      </c>
      <c r="G10" s="17" t="e">
        <f aca="false">ROUND(1*$H$3,0)</f>
        <v>#VALUE!</v>
      </c>
      <c r="H10" s="16" t="e">
        <f aca="false">$C$3+G10</f>
        <v>#VALUE!</v>
      </c>
      <c r="I10" s="52"/>
      <c r="J10" s="53" t="n">
        <f aca="false">IF(I10="Complete",1,IF(I10="Skipped",1,IF(I10="Blocked",0.5,IF(I10="In Progress",0.25,0))))</f>
        <v>0</v>
      </c>
      <c r="K10" s="54"/>
      <c r="L10" s="55"/>
      <c r="M10" s="56"/>
      <c r="N10" s="57" t="str">
        <f aca="false">IF(M10="","",M10-H10)</f>
        <v/>
      </c>
      <c r="O10" s="58" t="str">
        <f aca="false">IF(M10="","",ABS(M10-H10)*24)</f>
        <v/>
      </c>
      <c r="P10" s="11"/>
      <c r="Q10" s="67" t="s">
        <v>86</v>
      </c>
      <c r="R10" s="67" t="s">
        <v>66</v>
      </c>
      <c r="S10" s="67" t="s">
        <v>87</v>
      </c>
    </row>
    <row r="11" customFormat="false" ht="36" hidden="false" customHeight="true" outlineLevel="0" collapsed="false">
      <c r="A11" s="23" t="n">
        <v>6</v>
      </c>
      <c r="B11" s="60" t="s">
        <v>60</v>
      </c>
      <c r="C11" s="23" t="s">
        <v>88</v>
      </c>
      <c r="D11" s="61" t="s">
        <v>89</v>
      </c>
      <c r="E11" s="62" t="s">
        <v>90</v>
      </c>
      <c r="F11" s="23" t="s">
        <v>64</v>
      </c>
      <c r="G11" s="26" t="e">
        <f aca="false">ROUND(1*$H$3,0)</f>
        <v>#VALUE!</v>
      </c>
      <c r="H11" s="25" t="e">
        <f aca="false">$C$3+G11</f>
        <v>#VALUE!</v>
      </c>
      <c r="I11" s="52"/>
      <c r="J11" s="53" t="n">
        <f aca="false">IF(I11="Complete",1,IF(I11="Skipped",1,IF(I11="Blocked",0.5,IF(I11="In Progress",0.25,0))))</f>
        <v>0</v>
      </c>
      <c r="K11" s="54"/>
      <c r="L11" s="55"/>
      <c r="M11" s="56"/>
      <c r="N11" s="57" t="str">
        <f aca="false">IF(M11="","",M11-H11)</f>
        <v/>
      </c>
      <c r="O11" s="58" t="str">
        <f aca="false">IF(M11="","",ABS(M11-H11)*24)</f>
        <v/>
      </c>
      <c r="P11" s="23"/>
      <c r="Q11" s="63" t="s">
        <v>91</v>
      </c>
      <c r="R11" s="63" t="s">
        <v>66</v>
      </c>
      <c r="S11" s="63" t="s">
        <v>92</v>
      </c>
    </row>
    <row r="12" customFormat="false" ht="36" hidden="false" customHeight="true" outlineLevel="0" collapsed="false">
      <c r="A12" s="11" t="n">
        <v>7</v>
      </c>
      <c r="B12" s="64" t="s">
        <v>60</v>
      </c>
      <c r="C12" s="11" t="s">
        <v>93</v>
      </c>
      <c r="D12" s="65" t="s">
        <v>94</v>
      </c>
      <c r="E12" s="66" t="s">
        <v>95</v>
      </c>
      <c r="F12" s="11" t="s">
        <v>96</v>
      </c>
      <c r="G12" s="17" t="e">
        <f aca="false">ROUND(1*$H$3,0)</f>
        <v>#VALUE!</v>
      </c>
      <c r="H12" s="16" t="e">
        <f aca="false">$C$3+G12</f>
        <v>#VALUE!</v>
      </c>
      <c r="I12" s="52"/>
      <c r="J12" s="53" t="n">
        <f aca="false">IF(I12="Complete",1,IF(I12="Skipped",1,IF(I12="Blocked",0.5,IF(I12="In Progress",0.25,0))))</f>
        <v>0</v>
      </c>
      <c r="K12" s="54"/>
      <c r="L12" s="55"/>
      <c r="M12" s="56"/>
      <c r="N12" s="57" t="str">
        <f aca="false">IF(M12="","",M12-H12)</f>
        <v/>
      </c>
      <c r="O12" s="58" t="str">
        <f aca="false">IF(M12="","",ABS(M12-H12)*24)</f>
        <v/>
      </c>
      <c r="P12" s="11"/>
      <c r="Q12" s="67" t="s">
        <v>97</v>
      </c>
      <c r="R12" s="67" t="s">
        <v>66</v>
      </c>
      <c r="S12" s="67" t="s">
        <v>98</v>
      </c>
    </row>
    <row r="13" customFormat="false" ht="36" hidden="false" customHeight="true" outlineLevel="0" collapsed="false">
      <c r="A13" s="23" t="n">
        <v>8</v>
      </c>
      <c r="B13" s="60" t="s">
        <v>60</v>
      </c>
      <c r="C13" s="23" t="s">
        <v>99</v>
      </c>
      <c r="D13" s="61" t="s">
        <v>100</v>
      </c>
      <c r="E13" s="62" t="s">
        <v>101</v>
      </c>
      <c r="F13" s="23" t="s">
        <v>64</v>
      </c>
      <c r="G13" s="26" t="e">
        <f aca="false">ROUND(1*$H$3,0)</f>
        <v>#VALUE!</v>
      </c>
      <c r="H13" s="25" t="e">
        <f aca="false">$C$3+G13</f>
        <v>#VALUE!</v>
      </c>
      <c r="I13" s="52"/>
      <c r="J13" s="53" t="n">
        <f aca="false">IF(I13="Complete",1,IF(I13="Skipped",1,IF(I13="Blocked",0.5,IF(I13="In Progress",0.25,0))))</f>
        <v>0</v>
      </c>
      <c r="K13" s="54"/>
      <c r="L13" s="55"/>
      <c r="M13" s="56"/>
      <c r="N13" s="57" t="str">
        <f aca="false">IF(M13="","",M13-H13)</f>
        <v/>
      </c>
      <c r="O13" s="58" t="str">
        <f aca="false">IF(M13="","",ABS(M13-H13)*24)</f>
        <v/>
      </c>
      <c r="P13" s="23"/>
      <c r="Q13" s="63" t="s">
        <v>102</v>
      </c>
      <c r="R13" s="63" t="s">
        <v>103</v>
      </c>
      <c r="S13" s="63" t="s">
        <v>104</v>
      </c>
    </row>
    <row r="14" customFormat="false" ht="36" hidden="false" customHeight="true" outlineLevel="0" collapsed="false">
      <c r="A14" s="11" t="n">
        <v>9</v>
      </c>
      <c r="B14" s="64" t="s">
        <v>60</v>
      </c>
      <c r="C14" s="11" t="s">
        <v>105</v>
      </c>
      <c r="D14" s="65" t="s">
        <v>106</v>
      </c>
      <c r="E14" s="66" t="s">
        <v>107</v>
      </c>
      <c r="F14" s="11" t="s">
        <v>64</v>
      </c>
      <c r="G14" s="17" t="e">
        <f aca="false">ROUND(2*$H$3,0)</f>
        <v>#VALUE!</v>
      </c>
      <c r="H14" s="16" t="e">
        <f aca="false">$C$3+G14</f>
        <v>#VALUE!</v>
      </c>
      <c r="I14" s="52"/>
      <c r="J14" s="53" t="n">
        <f aca="false">IF(I14="Complete",1,IF(I14="Skipped",1,IF(I14="Blocked",0.5,IF(I14="In Progress",0.25,0))))</f>
        <v>0</v>
      </c>
      <c r="K14" s="54"/>
      <c r="L14" s="55"/>
      <c r="M14" s="56"/>
      <c r="N14" s="57" t="str">
        <f aca="false">IF(M14="","",M14-H14)</f>
        <v/>
      </c>
      <c r="O14" s="58" t="str">
        <f aca="false">IF(M14="","",ABS(M14-H14)*24)</f>
        <v/>
      </c>
      <c r="P14" s="11"/>
      <c r="Q14" s="67" t="s">
        <v>108</v>
      </c>
      <c r="R14" s="67" t="s">
        <v>109</v>
      </c>
      <c r="S14" s="67" t="s">
        <v>110</v>
      </c>
    </row>
    <row r="15" customFormat="false" ht="36" hidden="false" customHeight="true" outlineLevel="0" collapsed="false">
      <c r="A15" s="23" t="n">
        <v>10</v>
      </c>
      <c r="B15" s="60" t="s">
        <v>60</v>
      </c>
      <c r="C15" s="23" t="s">
        <v>111</v>
      </c>
      <c r="D15" s="61" t="s">
        <v>112</v>
      </c>
      <c r="E15" s="62" t="s">
        <v>113</v>
      </c>
      <c r="F15" s="23" t="s">
        <v>114</v>
      </c>
      <c r="G15" s="26" t="e">
        <f aca="false">ROUND(2*$H$3,0)</f>
        <v>#VALUE!</v>
      </c>
      <c r="H15" s="25" t="e">
        <f aca="false">$C$3+G15</f>
        <v>#VALUE!</v>
      </c>
      <c r="I15" s="52"/>
      <c r="J15" s="53" t="n">
        <f aca="false">IF(I15="Complete",1,IF(I15="Skipped",1,IF(I15="Blocked",0.5,IF(I15="In Progress",0.25,0))))</f>
        <v>0</v>
      </c>
      <c r="K15" s="54"/>
      <c r="L15" s="55"/>
      <c r="M15" s="56"/>
      <c r="N15" s="57" t="str">
        <f aca="false">IF(M15="","",M15-H15)</f>
        <v/>
      </c>
      <c r="O15" s="58" t="str">
        <f aca="false">IF(M15="","",ABS(M15-H15)*24)</f>
        <v/>
      </c>
      <c r="P15" s="23"/>
      <c r="Q15" s="63" t="s">
        <v>115</v>
      </c>
      <c r="R15" s="63" t="s">
        <v>116</v>
      </c>
      <c r="S15" s="63" t="s">
        <v>117</v>
      </c>
    </row>
    <row r="16" customFormat="false" ht="36" hidden="false" customHeight="true" outlineLevel="0" collapsed="false">
      <c r="A16" s="46" t="n">
        <v>11</v>
      </c>
      <c r="B16" s="47" t="s">
        <v>118</v>
      </c>
      <c r="C16" s="46" t="s">
        <v>119</v>
      </c>
      <c r="D16" s="48" t="s">
        <v>120</v>
      </c>
      <c r="E16" s="49" t="s">
        <v>121</v>
      </c>
      <c r="F16" s="46" t="s">
        <v>64</v>
      </c>
      <c r="G16" s="50" t="e">
        <f aca="false">ROUND(3*$H$3,0)</f>
        <v>#VALUE!</v>
      </c>
      <c r="H16" s="51" t="e">
        <f aca="false">$C$3+G16</f>
        <v>#VALUE!</v>
      </c>
      <c r="I16" s="52"/>
      <c r="J16" s="53" t="n">
        <f aca="false">IF(I16="Complete",1,IF(I16="Skipped",1,IF(I16="Blocked",0.5,IF(I16="In Progress",0.25,0))))</f>
        <v>0</v>
      </c>
      <c r="K16" s="54"/>
      <c r="L16" s="55"/>
      <c r="M16" s="56"/>
      <c r="N16" s="57" t="str">
        <f aca="false">IF(M16="","",M16-H16)</f>
        <v/>
      </c>
      <c r="O16" s="58" t="str">
        <f aca="false">IF(M16="","",ABS(M16-H16)*24)</f>
        <v/>
      </c>
      <c r="P16" s="46"/>
      <c r="Q16" s="59" t="s">
        <v>122</v>
      </c>
      <c r="R16" s="59" t="s">
        <v>123</v>
      </c>
      <c r="S16" s="59" t="s">
        <v>124</v>
      </c>
    </row>
    <row r="17" customFormat="false" ht="36" hidden="false" customHeight="true" outlineLevel="0" collapsed="false">
      <c r="A17" s="23" t="n">
        <v>12</v>
      </c>
      <c r="B17" s="60" t="s">
        <v>118</v>
      </c>
      <c r="C17" s="23" t="s">
        <v>125</v>
      </c>
      <c r="D17" s="61" t="s">
        <v>126</v>
      </c>
      <c r="E17" s="62" t="s">
        <v>127</v>
      </c>
      <c r="F17" s="23" t="s">
        <v>64</v>
      </c>
      <c r="G17" s="26" t="e">
        <f aca="false">ROUND(3*$H$3,0)</f>
        <v>#VALUE!</v>
      </c>
      <c r="H17" s="25" t="e">
        <f aca="false">$C$3+G17</f>
        <v>#VALUE!</v>
      </c>
      <c r="I17" s="52"/>
      <c r="J17" s="53" t="n">
        <f aca="false">IF(I17="Complete",1,IF(I17="Skipped",1,IF(I17="Blocked",0.5,IF(I17="In Progress",0.25,0))))</f>
        <v>0</v>
      </c>
      <c r="K17" s="54"/>
      <c r="L17" s="55"/>
      <c r="M17" s="56"/>
      <c r="N17" s="57" t="str">
        <f aca="false">IF(M17="","",M17-H17)</f>
        <v/>
      </c>
      <c r="O17" s="58" t="str">
        <f aca="false">IF(M17="","",ABS(M17-H17)*24)</f>
        <v/>
      </c>
      <c r="P17" s="23"/>
      <c r="Q17" s="63" t="s">
        <v>128</v>
      </c>
      <c r="R17" s="63" t="s">
        <v>129</v>
      </c>
      <c r="S17" s="63" t="s">
        <v>130</v>
      </c>
    </row>
    <row r="18" customFormat="false" ht="36" hidden="false" customHeight="true" outlineLevel="0" collapsed="false">
      <c r="A18" s="11" t="n">
        <v>13</v>
      </c>
      <c r="B18" s="64" t="s">
        <v>118</v>
      </c>
      <c r="C18" s="11" t="s">
        <v>131</v>
      </c>
      <c r="D18" s="65" t="s">
        <v>132</v>
      </c>
      <c r="E18" s="66" t="s">
        <v>133</v>
      </c>
      <c r="F18" s="11" t="s">
        <v>64</v>
      </c>
      <c r="G18" s="17" t="e">
        <f aca="false">ROUND(3*$H$3,0)</f>
        <v>#VALUE!</v>
      </c>
      <c r="H18" s="16" t="e">
        <f aca="false">$C$3+G18</f>
        <v>#VALUE!</v>
      </c>
      <c r="I18" s="52"/>
      <c r="J18" s="53" t="n">
        <f aca="false">IF(I18="Complete",1,IF(I18="Skipped",1,IF(I18="Blocked",0.5,IF(I18="In Progress",0.25,0))))</f>
        <v>0</v>
      </c>
      <c r="K18" s="54"/>
      <c r="L18" s="55"/>
      <c r="M18" s="56"/>
      <c r="N18" s="57" t="str">
        <f aca="false">IF(M18="","",M18-H18)</f>
        <v/>
      </c>
      <c r="O18" s="58" t="str">
        <f aca="false">IF(M18="","",ABS(M18-H18)*24)</f>
        <v/>
      </c>
      <c r="P18" s="11"/>
      <c r="Q18" s="67" t="s">
        <v>134</v>
      </c>
      <c r="R18" s="67" t="s">
        <v>135</v>
      </c>
      <c r="S18" s="67" t="s">
        <v>136</v>
      </c>
    </row>
    <row r="19" customFormat="false" ht="36" hidden="false" customHeight="true" outlineLevel="0" collapsed="false">
      <c r="A19" s="23" t="n">
        <v>14</v>
      </c>
      <c r="B19" s="60" t="s">
        <v>118</v>
      </c>
      <c r="C19" s="23" t="s">
        <v>137</v>
      </c>
      <c r="D19" s="61" t="s">
        <v>138</v>
      </c>
      <c r="E19" s="62" t="s">
        <v>139</v>
      </c>
      <c r="F19" s="23" t="s">
        <v>64</v>
      </c>
      <c r="G19" s="26" t="e">
        <f aca="false">ROUND(3*$H$3,0)</f>
        <v>#VALUE!</v>
      </c>
      <c r="H19" s="25" t="e">
        <f aca="false">$C$3+G19</f>
        <v>#VALUE!</v>
      </c>
      <c r="I19" s="52"/>
      <c r="J19" s="53" t="n">
        <f aca="false">IF(I19="Complete",1,IF(I19="Skipped",1,IF(I19="Blocked",0.5,IF(I19="In Progress",0.25,0))))</f>
        <v>0</v>
      </c>
      <c r="K19" s="54"/>
      <c r="L19" s="55"/>
      <c r="M19" s="56"/>
      <c r="N19" s="57" t="str">
        <f aca="false">IF(M19="","",M19-H19)</f>
        <v/>
      </c>
      <c r="O19" s="58" t="str">
        <f aca="false">IF(M19="","",ABS(M19-H19)*24)</f>
        <v/>
      </c>
      <c r="P19" s="23"/>
      <c r="Q19" s="63" t="s">
        <v>140</v>
      </c>
      <c r="R19" s="63" t="s">
        <v>141</v>
      </c>
      <c r="S19" s="63" t="s">
        <v>142</v>
      </c>
    </row>
    <row r="20" customFormat="false" ht="36" hidden="false" customHeight="true" outlineLevel="0" collapsed="false">
      <c r="A20" s="11" t="n">
        <v>15</v>
      </c>
      <c r="B20" s="64" t="s">
        <v>118</v>
      </c>
      <c r="C20" s="11" t="s">
        <v>143</v>
      </c>
      <c r="D20" s="65" t="s">
        <v>144</v>
      </c>
      <c r="E20" s="66" t="s">
        <v>145</v>
      </c>
      <c r="F20" s="11" t="s">
        <v>64</v>
      </c>
      <c r="G20" s="17" t="e">
        <f aca="false">ROUND(3*$H$3,0)</f>
        <v>#VALUE!</v>
      </c>
      <c r="H20" s="16" t="e">
        <f aca="false">$C$3+G20</f>
        <v>#VALUE!</v>
      </c>
      <c r="I20" s="52"/>
      <c r="J20" s="53" t="n">
        <f aca="false">IF(I20="Complete",1,IF(I20="Skipped",1,IF(I20="Blocked",0.5,IF(I20="In Progress",0.25,0))))</f>
        <v>0</v>
      </c>
      <c r="K20" s="54"/>
      <c r="L20" s="55"/>
      <c r="M20" s="56"/>
      <c r="N20" s="57" t="str">
        <f aca="false">IF(M20="","",M20-H20)</f>
        <v/>
      </c>
      <c r="O20" s="58" t="str">
        <f aca="false">IF(M20="","",ABS(M20-H20)*24)</f>
        <v/>
      </c>
      <c r="P20" s="11"/>
      <c r="Q20" s="67" t="s">
        <v>146</v>
      </c>
      <c r="R20" s="67" t="s">
        <v>147</v>
      </c>
      <c r="S20" s="67" t="s">
        <v>148</v>
      </c>
    </row>
    <row r="21" customFormat="false" ht="36" hidden="false" customHeight="true" outlineLevel="0" collapsed="false">
      <c r="A21" s="23" t="n">
        <v>16</v>
      </c>
      <c r="B21" s="60" t="s">
        <v>118</v>
      </c>
      <c r="C21" s="23" t="s">
        <v>149</v>
      </c>
      <c r="D21" s="61" t="s">
        <v>150</v>
      </c>
      <c r="E21" s="62" t="s">
        <v>151</v>
      </c>
      <c r="F21" s="23" t="s">
        <v>152</v>
      </c>
      <c r="G21" s="26" t="e">
        <f aca="false">ROUND(3*$H$3,0)</f>
        <v>#VALUE!</v>
      </c>
      <c r="H21" s="25" t="e">
        <f aca="false">$C$3+G21</f>
        <v>#VALUE!</v>
      </c>
      <c r="I21" s="52"/>
      <c r="J21" s="53" t="n">
        <f aca="false">IF(I21="Complete",1,IF(I21="Skipped",1,IF(I21="Blocked",0.5,IF(I21="In Progress",0.25,0))))</f>
        <v>0</v>
      </c>
      <c r="K21" s="54"/>
      <c r="L21" s="55"/>
      <c r="M21" s="56"/>
      <c r="N21" s="57" t="str">
        <f aca="false">IF(M21="","",M21-H21)</f>
        <v/>
      </c>
      <c r="O21" s="58" t="str">
        <f aca="false">IF(M21="","",ABS(M21-H21)*24)</f>
        <v/>
      </c>
      <c r="P21" s="23"/>
      <c r="Q21" s="63" t="s">
        <v>153</v>
      </c>
      <c r="R21" s="63" t="s">
        <v>154</v>
      </c>
      <c r="S21" s="63" t="s">
        <v>155</v>
      </c>
    </row>
    <row r="22" customFormat="false" ht="36" hidden="false" customHeight="true" outlineLevel="0" collapsed="false">
      <c r="A22" s="46" t="n">
        <v>17</v>
      </c>
      <c r="B22" s="47" t="s">
        <v>156</v>
      </c>
      <c r="C22" s="46" t="s">
        <v>157</v>
      </c>
      <c r="D22" s="48" t="s">
        <v>158</v>
      </c>
      <c r="E22" s="49" t="s">
        <v>159</v>
      </c>
      <c r="F22" s="46" t="s">
        <v>64</v>
      </c>
      <c r="G22" s="50" t="e">
        <f aca="false">ROUND(4*$H$3,0)</f>
        <v>#VALUE!</v>
      </c>
      <c r="H22" s="51" t="e">
        <f aca="false">$C$3+G22</f>
        <v>#VALUE!</v>
      </c>
      <c r="I22" s="52"/>
      <c r="J22" s="53" t="n">
        <f aca="false">IF(I22="Complete",1,IF(I22="Skipped",1,IF(I22="Blocked",0.5,IF(I22="In Progress",0.25,0))))</f>
        <v>0</v>
      </c>
      <c r="K22" s="54"/>
      <c r="L22" s="55"/>
      <c r="M22" s="56"/>
      <c r="N22" s="57" t="str">
        <f aca="false">IF(M22="","",M22-H22)</f>
        <v/>
      </c>
      <c r="O22" s="58" t="str">
        <f aca="false">IF(M22="","",ABS(M22-H22)*24)</f>
        <v/>
      </c>
      <c r="P22" s="46"/>
      <c r="Q22" s="59" t="s">
        <v>160</v>
      </c>
      <c r="R22" s="59" t="s">
        <v>161</v>
      </c>
      <c r="S22" s="59" t="s">
        <v>162</v>
      </c>
    </row>
    <row r="23" customFormat="false" ht="36" hidden="false" customHeight="true" outlineLevel="0" collapsed="false">
      <c r="A23" s="23" t="n">
        <v>18</v>
      </c>
      <c r="B23" s="60" t="s">
        <v>156</v>
      </c>
      <c r="C23" s="23" t="s">
        <v>163</v>
      </c>
      <c r="D23" s="61" t="s">
        <v>164</v>
      </c>
      <c r="E23" s="62" t="s">
        <v>165</v>
      </c>
      <c r="F23" s="23" t="s">
        <v>64</v>
      </c>
      <c r="G23" s="26" t="e">
        <f aca="false">ROUND(4*$H$3,0)</f>
        <v>#VALUE!</v>
      </c>
      <c r="H23" s="25" t="e">
        <f aca="false">$C$3+G23</f>
        <v>#VALUE!</v>
      </c>
      <c r="I23" s="52"/>
      <c r="J23" s="53" t="n">
        <f aca="false">IF(I23="Complete",1,IF(I23="Skipped",1,IF(I23="Blocked",0.5,IF(I23="In Progress",0.25,0))))</f>
        <v>0</v>
      </c>
      <c r="K23" s="54"/>
      <c r="L23" s="55"/>
      <c r="M23" s="56"/>
      <c r="N23" s="57" t="str">
        <f aca="false">IF(M23="","",M23-H23)</f>
        <v/>
      </c>
      <c r="O23" s="58" t="str">
        <f aca="false">IF(M23="","",ABS(M23-H23)*24)</f>
        <v/>
      </c>
      <c r="P23" s="23"/>
      <c r="Q23" s="63" t="s">
        <v>166</v>
      </c>
      <c r="R23" s="63" t="s">
        <v>167</v>
      </c>
      <c r="S23" s="63"/>
    </row>
    <row r="24" customFormat="false" ht="36" hidden="false" customHeight="true" outlineLevel="0" collapsed="false">
      <c r="A24" s="11" t="n">
        <v>19</v>
      </c>
      <c r="B24" s="64" t="s">
        <v>156</v>
      </c>
      <c r="C24" s="11" t="s">
        <v>168</v>
      </c>
      <c r="D24" s="65" t="s">
        <v>169</v>
      </c>
      <c r="E24" s="66" t="s">
        <v>170</v>
      </c>
      <c r="F24" s="11" t="s">
        <v>64</v>
      </c>
      <c r="G24" s="17" t="e">
        <f aca="false">ROUND(4*$H$3,0)</f>
        <v>#VALUE!</v>
      </c>
      <c r="H24" s="16" t="e">
        <f aca="false">$C$3+G24</f>
        <v>#VALUE!</v>
      </c>
      <c r="I24" s="52"/>
      <c r="J24" s="53" t="n">
        <f aca="false">IF(I24="Complete",1,IF(I24="Skipped",1,IF(I24="Blocked",0.5,IF(I24="In Progress",0.25,0))))</f>
        <v>0</v>
      </c>
      <c r="K24" s="54"/>
      <c r="L24" s="55"/>
      <c r="M24" s="56"/>
      <c r="N24" s="57" t="str">
        <f aca="false">IF(M24="","",M24-H24)</f>
        <v/>
      </c>
      <c r="O24" s="58" t="str">
        <f aca="false">IF(M24="","",ABS(M24-H24)*24)</f>
        <v/>
      </c>
      <c r="P24" s="11"/>
      <c r="Q24" s="67" t="s">
        <v>171</v>
      </c>
      <c r="R24" s="67" t="s">
        <v>172</v>
      </c>
      <c r="S24" s="67" t="s">
        <v>173</v>
      </c>
    </row>
    <row r="25" customFormat="false" ht="36" hidden="false" customHeight="true" outlineLevel="0" collapsed="false">
      <c r="A25" s="23" t="n">
        <v>20</v>
      </c>
      <c r="B25" s="60" t="s">
        <v>156</v>
      </c>
      <c r="C25" s="23" t="s">
        <v>174</v>
      </c>
      <c r="D25" s="61" t="s">
        <v>175</v>
      </c>
      <c r="E25" s="62" t="s">
        <v>176</v>
      </c>
      <c r="F25" s="23" t="s">
        <v>64</v>
      </c>
      <c r="G25" s="26" t="e">
        <f aca="false">ROUND(4*$H$3,0)</f>
        <v>#VALUE!</v>
      </c>
      <c r="H25" s="25" t="e">
        <f aca="false">$C$3+G25</f>
        <v>#VALUE!</v>
      </c>
      <c r="I25" s="52"/>
      <c r="J25" s="53" t="n">
        <f aca="false">IF(I25="Complete",1,IF(I25="Skipped",1,IF(I25="Blocked",0.5,IF(I25="In Progress",0.25,0))))</f>
        <v>0</v>
      </c>
      <c r="K25" s="54"/>
      <c r="L25" s="55"/>
      <c r="M25" s="56"/>
      <c r="N25" s="57" t="str">
        <f aca="false">IF(M25="","",M25-H25)</f>
        <v/>
      </c>
      <c r="O25" s="58" t="str">
        <f aca="false">IF(M25="","",ABS(M25-H25)*24)</f>
        <v/>
      </c>
      <c r="P25" s="23"/>
      <c r="Q25" s="63" t="s">
        <v>177</v>
      </c>
      <c r="R25" s="63" t="s">
        <v>178</v>
      </c>
      <c r="S25" s="63" t="s">
        <v>179</v>
      </c>
    </row>
    <row r="26" customFormat="false" ht="36" hidden="false" customHeight="true" outlineLevel="0" collapsed="false">
      <c r="A26" s="11" t="n">
        <v>21</v>
      </c>
      <c r="B26" s="64" t="s">
        <v>156</v>
      </c>
      <c r="C26" s="11" t="s">
        <v>180</v>
      </c>
      <c r="D26" s="65" t="s">
        <v>181</v>
      </c>
      <c r="E26" s="66" t="s">
        <v>182</v>
      </c>
      <c r="F26" s="11" t="s">
        <v>64</v>
      </c>
      <c r="G26" s="17" t="e">
        <f aca="false">ROUND(4*$H$3,0)</f>
        <v>#VALUE!</v>
      </c>
      <c r="H26" s="16" t="e">
        <f aca="false">$C$3+G26</f>
        <v>#VALUE!</v>
      </c>
      <c r="I26" s="52"/>
      <c r="J26" s="53" t="n">
        <f aca="false">IF(I26="Complete",1,IF(I26="Skipped",1,IF(I26="Blocked",0.5,IF(I26="In Progress",0.25,0))))</f>
        <v>0</v>
      </c>
      <c r="K26" s="54"/>
      <c r="L26" s="55"/>
      <c r="M26" s="56"/>
      <c r="N26" s="57" t="str">
        <f aca="false">IF(M26="","",M26-H26)</f>
        <v/>
      </c>
      <c r="O26" s="58" t="str">
        <f aca="false">IF(M26="","",ABS(M26-H26)*24)</f>
        <v/>
      </c>
      <c r="P26" s="11"/>
      <c r="Q26" s="67" t="s">
        <v>183</v>
      </c>
      <c r="R26" s="67" t="s">
        <v>184</v>
      </c>
      <c r="S26" s="67" t="s">
        <v>185</v>
      </c>
    </row>
    <row r="27" customFormat="false" ht="36" hidden="false" customHeight="true" outlineLevel="0" collapsed="false">
      <c r="A27" s="23" t="n">
        <v>22</v>
      </c>
      <c r="B27" s="60" t="s">
        <v>156</v>
      </c>
      <c r="C27" s="23" t="s">
        <v>186</v>
      </c>
      <c r="D27" s="61" t="s">
        <v>187</v>
      </c>
      <c r="E27" s="62" t="s">
        <v>188</v>
      </c>
      <c r="F27" s="23" t="s">
        <v>64</v>
      </c>
      <c r="G27" s="26" t="e">
        <f aca="false">ROUND(4*$H$3,0)</f>
        <v>#VALUE!</v>
      </c>
      <c r="H27" s="25" t="e">
        <f aca="false">$C$3+G27</f>
        <v>#VALUE!</v>
      </c>
      <c r="I27" s="52"/>
      <c r="J27" s="53" t="n">
        <f aca="false">IF(I27="Complete",1,IF(I27="Skipped",1,IF(I27="Blocked",0.5,IF(I27="In Progress",0.25,0))))</f>
        <v>0</v>
      </c>
      <c r="K27" s="54"/>
      <c r="L27" s="55"/>
      <c r="M27" s="56"/>
      <c r="N27" s="57" t="str">
        <f aca="false">IF(M27="","",M27-H27)</f>
        <v/>
      </c>
      <c r="O27" s="58" t="str">
        <f aca="false">IF(M27="","",ABS(M27-H27)*24)</f>
        <v/>
      </c>
      <c r="P27" s="23"/>
      <c r="Q27" s="63" t="s">
        <v>189</v>
      </c>
      <c r="R27" s="63" t="s">
        <v>190</v>
      </c>
      <c r="S27" s="63" t="s">
        <v>191</v>
      </c>
    </row>
    <row r="28" customFormat="false" ht="36" hidden="false" customHeight="true" outlineLevel="0" collapsed="false">
      <c r="A28" s="11" t="n">
        <v>23</v>
      </c>
      <c r="B28" s="64" t="s">
        <v>156</v>
      </c>
      <c r="C28" s="11" t="s">
        <v>192</v>
      </c>
      <c r="D28" s="65" t="s">
        <v>193</v>
      </c>
      <c r="E28" s="66" t="s">
        <v>194</v>
      </c>
      <c r="F28" s="11" t="s">
        <v>64</v>
      </c>
      <c r="G28" s="17" t="e">
        <f aca="false">ROUND(5*$H$3,0)</f>
        <v>#VALUE!</v>
      </c>
      <c r="H28" s="16" t="e">
        <f aca="false">$C$3+G28</f>
        <v>#VALUE!</v>
      </c>
      <c r="I28" s="52"/>
      <c r="J28" s="53" t="n">
        <f aca="false">IF(I28="Complete",1,IF(I28="Skipped",1,IF(I28="Blocked",0.5,IF(I28="In Progress",0.25,0))))</f>
        <v>0</v>
      </c>
      <c r="K28" s="54"/>
      <c r="L28" s="55"/>
      <c r="M28" s="56"/>
      <c r="N28" s="57" t="str">
        <f aca="false">IF(M28="","",M28-H28)</f>
        <v/>
      </c>
      <c r="O28" s="58" t="str">
        <f aca="false">IF(M28="","",ABS(M28-H28)*24)</f>
        <v/>
      </c>
      <c r="P28" s="11"/>
      <c r="Q28" s="67" t="s">
        <v>195</v>
      </c>
      <c r="R28" s="67" t="s">
        <v>196</v>
      </c>
      <c r="S28" s="67" t="s">
        <v>197</v>
      </c>
    </row>
    <row r="29" customFormat="false" ht="36" hidden="false" customHeight="true" outlineLevel="0" collapsed="false">
      <c r="A29" s="23" t="n">
        <v>24</v>
      </c>
      <c r="B29" s="60" t="s">
        <v>156</v>
      </c>
      <c r="C29" s="23" t="s">
        <v>198</v>
      </c>
      <c r="D29" s="61" t="s">
        <v>199</v>
      </c>
      <c r="E29" s="62" t="s">
        <v>200</v>
      </c>
      <c r="F29" s="23" t="s">
        <v>64</v>
      </c>
      <c r="G29" s="26" t="e">
        <f aca="false">ROUND(5*$H$3,0)</f>
        <v>#VALUE!</v>
      </c>
      <c r="H29" s="25" t="e">
        <f aca="false">$C$3+G29</f>
        <v>#VALUE!</v>
      </c>
      <c r="I29" s="52"/>
      <c r="J29" s="53" t="n">
        <f aca="false">IF(I29="Complete",1,IF(I29="Skipped",1,IF(I29="Blocked",0.5,IF(I29="In Progress",0.25,0))))</f>
        <v>0</v>
      </c>
      <c r="K29" s="54"/>
      <c r="L29" s="55"/>
      <c r="M29" s="56"/>
      <c r="N29" s="57" t="str">
        <f aca="false">IF(M29="","",M29-H29)</f>
        <v/>
      </c>
      <c r="O29" s="58" t="str">
        <f aca="false">IF(M29="","",ABS(M29-H29)*24)</f>
        <v/>
      </c>
      <c r="P29" s="23"/>
      <c r="Q29" s="63" t="s">
        <v>201</v>
      </c>
      <c r="R29" s="63" t="s">
        <v>202</v>
      </c>
      <c r="S29" s="63" t="s">
        <v>203</v>
      </c>
    </row>
    <row r="30" customFormat="false" ht="36" hidden="false" customHeight="true" outlineLevel="0" collapsed="false">
      <c r="A30" s="11" t="n">
        <v>25</v>
      </c>
      <c r="B30" s="64" t="s">
        <v>156</v>
      </c>
      <c r="C30" s="11" t="s">
        <v>204</v>
      </c>
      <c r="D30" s="65" t="s">
        <v>205</v>
      </c>
      <c r="E30" s="66" t="s">
        <v>206</v>
      </c>
      <c r="F30" s="11" t="s">
        <v>64</v>
      </c>
      <c r="G30" s="17" t="e">
        <f aca="false">ROUND(5*$H$3,0)</f>
        <v>#VALUE!</v>
      </c>
      <c r="H30" s="16" t="e">
        <f aca="false">$C$3+G30</f>
        <v>#VALUE!</v>
      </c>
      <c r="I30" s="52"/>
      <c r="J30" s="53" t="n">
        <f aca="false">IF(I30="Complete",1,IF(I30="Skipped",1,IF(I30="Blocked",0.5,IF(I30="In Progress",0.25,0))))</f>
        <v>0</v>
      </c>
      <c r="K30" s="54"/>
      <c r="L30" s="55"/>
      <c r="M30" s="56"/>
      <c r="N30" s="57" t="str">
        <f aca="false">IF(M30="","",M30-H30)</f>
        <v/>
      </c>
      <c r="O30" s="58" t="str">
        <f aca="false">IF(M30="","",ABS(M30-H30)*24)</f>
        <v/>
      </c>
      <c r="P30" s="11"/>
      <c r="Q30" s="67" t="s">
        <v>207</v>
      </c>
      <c r="R30" s="67" t="s">
        <v>208</v>
      </c>
      <c r="S30" s="67" t="s">
        <v>209</v>
      </c>
    </row>
    <row r="31" customFormat="false" ht="36" hidden="false" customHeight="true" outlineLevel="0" collapsed="false">
      <c r="A31" s="46" t="n">
        <v>26</v>
      </c>
      <c r="B31" s="47" t="s">
        <v>210</v>
      </c>
      <c r="C31" s="46" t="s">
        <v>211</v>
      </c>
      <c r="D31" s="48" t="s">
        <v>212</v>
      </c>
      <c r="E31" s="49" t="s">
        <v>213</v>
      </c>
      <c r="F31" s="46" t="s">
        <v>214</v>
      </c>
      <c r="G31" s="50" t="e">
        <f aca="false">ROUND(6*$H$3,0)</f>
        <v>#VALUE!</v>
      </c>
      <c r="H31" s="51" t="e">
        <f aca="false">$C$3+G31</f>
        <v>#VALUE!</v>
      </c>
      <c r="I31" s="52"/>
      <c r="J31" s="53" t="n">
        <f aca="false">IF(I31="Complete",1,IF(I31="Skipped",1,IF(I31="Blocked",0.5,IF(I31="In Progress",0.25,0))))</f>
        <v>0</v>
      </c>
      <c r="K31" s="54"/>
      <c r="L31" s="55"/>
      <c r="M31" s="56"/>
      <c r="N31" s="57" t="str">
        <f aca="false">IF(M31="","",M31-H31)</f>
        <v/>
      </c>
      <c r="O31" s="58" t="str">
        <f aca="false">IF(M31="","",ABS(M31-H31)*24)</f>
        <v/>
      </c>
      <c r="P31" s="46"/>
      <c r="Q31" s="59" t="s">
        <v>215</v>
      </c>
      <c r="R31" s="59" t="s">
        <v>216</v>
      </c>
      <c r="S31" s="59" t="s">
        <v>217</v>
      </c>
    </row>
    <row r="32" customFormat="false" ht="36" hidden="false" customHeight="true" outlineLevel="0" collapsed="false">
      <c r="A32" s="11" t="n">
        <v>27</v>
      </c>
      <c r="B32" s="64" t="s">
        <v>210</v>
      </c>
      <c r="C32" s="11" t="s">
        <v>218</v>
      </c>
      <c r="D32" s="65" t="s">
        <v>219</v>
      </c>
      <c r="E32" s="66" t="s">
        <v>220</v>
      </c>
      <c r="F32" s="11" t="s">
        <v>214</v>
      </c>
      <c r="G32" s="17" t="e">
        <f aca="false">ROUND(6*$H$3,0)</f>
        <v>#VALUE!</v>
      </c>
      <c r="H32" s="16" t="e">
        <f aca="false">$C$3+G32</f>
        <v>#VALUE!</v>
      </c>
      <c r="I32" s="52"/>
      <c r="J32" s="53" t="n">
        <f aca="false">IF(I32="Complete",1,IF(I32="Skipped",1,IF(I32="Blocked",0.5,IF(I32="In Progress",0.25,0))))</f>
        <v>0</v>
      </c>
      <c r="K32" s="54"/>
      <c r="L32" s="55"/>
      <c r="M32" s="56"/>
      <c r="N32" s="57" t="str">
        <f aca="false">IF(M32="","",M32-H32)</f>
        <v/>
      </c>
      <c r="O32" s="58" t="str">
        <f aca="false">IF(M32="","",ABS(M32-H32)*24)</f>
        <v/>
      </c>
      <c r="P32" s="11"/>
      <c r="Q32" s="67" t="s">
        <v>221</v>
      </c>
      <c r="R32" s="67" t="s">
        <v>222</v>
      </c>
      <c r="S32" s="67" t="s">
        <v>223</v>
      </c>
    </row>
    <row r="33" customFormat="false" ht="36" hidden="false" customHeight="true" outlineLevel="0" collapsed="false">
      <c r="A33" s="23" t="n">
        <v>28</v>
      </c>
      <c r="B33" s="60" t="s">
        <v>210</v>
      </c>
      <c r="C33" s="23" t="s">
        <v>224</v>
      </c>
      <c r="D33" s="61" t="s">
        <v>225</v>
      </c>
      <c r="E33" s="62" t="s">
        <v>226</v>
      </c>
      <c r="F33" s="23" t="s">
        <v>64</v>
      </c>
      <c r="G33" s="26" t="e">
        <f aca="false">ROUND(7*$H$3,0)</f>
        <v>#VALUE!</v>
      </c>
      <c r="H33" s="25" t="e">
        <f aca="false">$C$3+G33</f>
        <v>#VALUE!</v>
      </c>
      <c r="I33" s="52"/>
      <c r="J33" s="53" t="n">
        <f aca="false">IF(I33="Complete",1,IF(I33="Skipped",1,IF(I33="Blocked",0.5,IF(I33="In Progress",0.25,0))))</f>
        <v>0</v>
      </c>
      <c r="K33" s="54"/>
      <c r="L33" s="55"/>
      <c r="M33" s="56"/>
      <c r="N33" s="57" t="str">
        <f aca="false">IF(M33="","",M33-H33)</f>
        <v/>
      </c>
      <c r="O33" s="58" t="str">
        <f aca="false">IF(M33="","",ABS(M33-H33)*24)</f>
        <v/>
      </c>
      <c r="P33" s="23"/>
      <c r="Q33" s="63" t="s">
        <v>227</v>
      </c>
      <c r="R33" s="63" t="s">
        <v>228</v>
      </c>
      <c r="S33" s="63" t="s">
        <v>229</v>
      </c>
    </row>
    <row r="34" customFormat="false" ht="36" hidden="false" customHeight="true" outlineLevel="0" collapsed="false">
      <c r="A34" s="11" t="n">
        <v>29</v>
      </c>
      <c r="B34" s="64" t="s">
        <v>210</v>
      </c>
      <c r="C34" s="11" t="s">
        <v>230</v>
      </c>
      <c r="D34" s="65" t="s">
        <v>231</v>
      </c>
      <c r="E34" s="66" t="s">
        <v>232</v>
      </c>
      <c r="F34" s="11" t="s">
        <v>214</v>
      </c>
      <c r="G34" s="17" t="e">
        <f aca="false">ROUND(8*$H$3,0)</f>
        <v>#VALUE!</v>
      </c>
      <c r="H34" s="16" t="e">
        <f aca="false">$C$3+G34</f>
        <v>#VALUE!</v>
      </c>
      <c r="I34" s="52"/>
      <c r="J34" s="53" t="n">
        <f aca="false">IF(I34="Complete",1,IF(I34="Skipped",1,IF(I34="Blocked",0.5,IF(I34="In Progress",0.25,0))))</f>
        <v>0</v>
      </c>
      <c r="K34" s="54"/>
      <c r="L34" s="55"/>
      <c r="M34" s="56"/>
      <c r="N34" s="57" t="str">
        <f aca="false">IF(M34="","",M34-H34)</f>
        <v/>
      </c>
      <c r="O34" s="58" t="str">
        <f aca="false">IF(M34="","",ABS(M34-H34)*24)</f>
        <v/>
      </c>
      <c r="P34" s="11"/>
      <c r="Q34" s="67" t="s">
        <v>233</v>
      </c>
      <c r="R34" s="67" t="s">
        <v>66</v>
      </c>
      <c r="S34" s="67" t="s">
        <v>234</v>
      </c>
    </row>
    <row r="35" customFormat="false" ht="36" hidden="false" customHeight="true" outlineLevel="0" collapsed="false">
      <c r="A35" s="23" t="n">
        <v>30</v>
      </c>
      <c r="B35" s="60" t="s">
        <v>210</v>
      </c>
      <c r="C35" s="23" t="s">
        <v>235</v>
      </c>
      <c r="D35" s="61" t="s">
        <v>236</v>
      </c>
      <c r="E35" s="62" t="s">
        <v>237</v>
      </c>
      <c r="F35" s="23" t="s">
        <v>114</v>
      </c>
      <c r="G35" s="26" t="e">
        <f aca="false">ROUND(8*$H$3,0)</f>
        <v>#VALUE!</v>
      </c>
      <c r="H35" s="25" t="e">
        <f aca="false">$C$3+G35</f>
        <v>#VALUE!</v>
      </c>
      <c r="I35" s="52"/>
      <c r="J35" s="53" t="n">
        <f aca="false">IF(I35="Complete",1,IF(I35="Skipped",1,IF(I35="Blocked",0.5,IF(I35="In Progress",0.25,0))))</f>
        <v>0</v>
      </c>
      <c r="K35" s="54"/>
      <c r="L35" s="55"/>
      <c r="M35" s="56"/>
      <c r="N35" s="57" t="str">
        <f aca="false">IF(M35="","",M35-H35)</f>
        <v/>
      </c>
      <c r="O35" s="58" t="str">
        <f aca="false">IF(M35="","",ABS(M35-H35)*24)</f>
        <v/>
      </c>
      <c r="P35" s="23"/>
      <c r="Q35" s="63" t="s">
        <v>238</v>
      </c>
      <c r="R35" s="63" t="s">
        <v>239</v>
      </c>
      <c r="S35" s="63"/>
    </row>
    <row r="36" customFormat="false" ht="36" hidden="false" customHeight="true" outlineLevel="0" collapsed="false">
      <c r="A36" s="46" t="n">
        <v>31</v>
      </c>
      <c r="B36" s="47" t="s">
        <v>240</v>
      </c>
      <c r="C36" s="46" t="s">
        <v>241</v>
      </c>
      <c r="D36" s="48" t="s">
        <v>242</v>
      </c>
      <c r="E36" s="49" t="s">
        <v>243</v>
      </c>
      <c r="F36" s="46" t="s">
        <v>64</v>
      </c>
      <c r="G36" s="50" t="e">
        <f aca="false">ROUND(9*$H$3,0)</f>
        <v>#VALUE!</v>
      </c>
      <c r="H36" s="51" t="e">
        <f aca="false">$C$3+G36</f>
        <v>#VALUE!</v>
      </c>
      <c r="I36" s="52"/>
      <c r="J36" s="53" t="n">
        <f aca="false">IF(I36="Complete",1,IF(I36="Skipped",1,IF(I36="Blocked",0.5,IF(I36="In Progress",0.25,0))))</f>
        <v>0</v>
      </c>
      <c r="K36" s="54"/>
      <c r="L36" s="55"/>
      <c r="M36" s="56"/>
      <c r="N36" s="57" t="str">
        <f aca="false">IF(M36="","",M36-H36)</f>
        <v/>
      </c>
      <c r="O36" s="58" t="str">
        <f aca="false">IF(M36="","",ABS(M36-H36)*24)</f>
        <v/>
      </c>
      <c r="P36" s="46"/>
      <c r="Q36" s="59" t="s">
        <v>244</v>
      </c>
      <c r="R36" s="59" t="s">
        <v>245</v>
      </c>
      <c r="S36" s="59" t="s">
        <v>246</v>
      </c>
    </row>
    <row r="37" customFormat="false" ht="36" hidden="false" customHeight="true" outlineLevel="0" collapsed="false">
      <c r="A37" s="23" t="n">
        <v>32</v>
      </c>
      <c r="B37" s="60" t="s">
        <v>240</v>
      </c>
      <c r="C37" s="23" t="s">
        <v>247</v>
      </c>
      <c r="D37" s="61" t="s">
        <v>248</v>
      </c>
      <c r="E37" s="62" t="s">
        <v>249</v>
      </c>
      <c r="F37" s="23" t="s">
        <v>114</v>
      </c>
      <c r="G37" s="26" t="e">
        <f aca="false">ROUND(10*$H$3,0)</f>
        <v>#VALUE!</v>
      </c>
      <c r="H37" s="25" t="e">
        <f aca="false">$C$3+G37</f>
        <v>#VALUE!</v>
      </c>
      <c r="I37" s="52"/>
      <c r="J37" s="53" t="n">
        <f aca="false">IF(I37="Complete",1,IF(I37="Skipped",1,IF(I37="Blocked",0.5,IF(I37="In Progress",0.25,0))))</f>
        <v>0</v>
      </c>
      <c r="K37" s="54"/>
      <c r="L37" s="55"/>
      <c r="M37" s="56"/>
      <c r="N37" s="57" t="str">
        <f aca="false">IF(M37="","",M37-H37)</f>
        <v/>
      </c>
      <c r="O37" s="58" t="str">
        <f aca="false">IF(M37="","",ABS(M37-H37)*24)</f>
        <v/>
      </c>
      <c r="P37" s="23"/>
      <c r="Q37" s="63" t="s">
        <v>250</v>
      </c>
      <c r="R37" s="63" t="s">
        <v>251</v>
      </c>
      <c r="S37" s="63"/>
    </row>
    <row r="38" customFormat="false" ht="36" hidden="false" customHeight="true" outlineLevel="0" collapsed="false">
      <c r="A38" s="11" t="n">
        <v>33</v>
      </c>
      <c r="B38" s="64" t="s">
        <v>240</v>
      </c>
      <c r="C38" s="11" t="s">
        <v>252</v>
      </c>
      <c r="D38" s="65" t="s">
        <v>253</v>
      </c>
      <c r="E38" s="66" t="s">
        <v>254</v>
      </c>
      <c r="F38" s="11" t="s">
        <v>152</v>
      </c>
      <c r="G38" s="17" t="e">
        <f aca="false">ROUND(10*$H$3,0)</f>
        <v>#VALUE!</v>
      </c>
      <c r="H38" s="16" t="e">
        <f aca="false">$C$3+G38</f>
        <v>#VALUE!</v>
      </c>
      <c r="I38" s="52"/>
      <c r="J38" s="53" t="n">
        <f aca="false">IF(I38="Complete",1,IF(I38="Skipped",1,IF(I38="Blocked",0.5,IF(I38="In Progress",0.25,0))))</f>
        <v>0</v>
      </c>
      <c r="K38" s="54"/>
      <c r="L38" s="55"/>
      <c r="M38" s="56"/>
      <c r="N38" s="57" t="str">
        <f aca="false">IF(M38="","",M38-H38)</f>
        <v/>
      </c>
      <c r="O38" s="58" t="str">
        <f aca="false">IF(M38="","",ABS(M38-H38)*24)</f>
        <v/>
      </c>
      <c r="P38" s="11"/>
      <c r="Q38" s="67" t="s">
        <v>255</v>
      </c>
      <c r="R38" s="67" t="s">
        <v>256</v>
      </c>
      <c r="S38" s="67" t="s">
        <v>257</v>
      </c>
    </row>
    <row r="39" customFormat="false" ht="36" hidden="false" customHeight="true" outlineLevel="0" collapsed="false">
      <c r="A39" s="23" t="n">
        <v>34</v>
      </c>
      <c r="B39" s="60" t="s">
        <v>240</v>
      </c>
      <c r="C39" s="23" t="s">
        <v>258</v>
      </c>
      <c r="D39" s="61" t="s">
        <v>259</v>
      </c>
      <c r="E39" s="62" t="s">
        <v>260</v>
      </c>
      <c r="F39" s="23" t="s">
        <v>64</v>
      </c>
      <c r="G39" s="26" t="e">
        <f aca="false">ROUND(10*$H$3,0)</f>
        <v>#VALUE!</v>
      </c>
      <c r="H39" s="25" t="e">
        <f aca="false">$C$3+G39</f>
        <v>#VALUE!</v>
      </c>
      <c r="I39" s="52"/>
      <c r="J39" s="53" t="n">
        <f aca="false">IF(I39="Complete",1,IF(I39="Skipped",1,IF(I39="Blocked",0.5,IF(I39="In Progress",0.25,0))))</f>
        <v>0</v>
      </c>
      <c r="K39" s="54"/>
      <c r="L39" s="55"/>
      <c r="M39" s="56"/>
      <c r="N39" s="57" t="str">
        <f aca="false">IF(M39="","",M39-H39)</f>
        <v/>
      </c>
      <c r="O39" s="58" t="str">
        <f aca="false">IF(M39="","",ABS(M39-H39)*24)</f>
        <v/>
      </c>
      <c r="P39" s="23"/>
      <c r="Q39" s="63" t="s">
        <v>261</v>
      </c>
      <c r="R39" s="63" t="s">
        <v>262</v>
      </c>
      <c r="S39" s="63"/>
    </row>
    <row r="40" customFormat="false" ht="36" hidden="false" customHeight="true" outlineLevel="0" collapsed="false">
      <c r="A40" s="46" t="n">
        <v>35</v>
      </c>
      <c r="B40" s="47" t="s">
        <v>263</v>
      </c>
      <c r="C40" s="46" t="s">
        <v>264</v>
      </c>
      <c r="D40" s="48" t="s">
        <v>265</v>
      </c>
      <c r="E40" s="49" t="s">
        <v>266</v>
      </c>
      <c r="F40" s="46" t="s">
        <v>64</v>
      </c>
      <c r="G40" s="50" t="e">
        <f aca="false">ROUND(10*$H$3,0)</f>
        <v>#VALUE!</v>
      </c>
      <c r="H40" s="51" t="e">
        <f aca="false">$C$3+G40</f>
        <v>#VALUE!</v>
      </c>
      <c r="I40" s="52"/>
      <c r="J40" s="53" t="n">
        <f aca="false">IF(I40="Complete",1,IF(I40="Skipped",1,IF(I40="Blocked",0.5,IF(I40="In Progress",0.25,0))))</f>
        <v>0</v>
      </c>
      <c r="K40" s="54"/>
      <c r="L40" s="55"/>
      <c r="M40" s="56"/>
      <c r="N40" s="57" t="str">
        <f aca="false">IF(M40="","",M40-H40)</f>
        <v/>
      </c>
      <c r="O40" s="58" t="str">
        <f aca="false">IF(M40="","",ABS(M40-H40)*24)</f>
        <v/>
      </c>
      <c r="P40" s="46"/>
      <c r="Q40" s="59" t="s">
        <v>267</v>
      </c>
      <c r="R40" s="59" t="s">
        <v>268</v>
      </c>
      <c r="S40" s="59" t="s">
        <v>269</v>
      </c>
    </row>
    <row r="41" customFormat="false" ht="36" hidden="false" customHeight="true" outlineLevel="0" collapsed="false">
      <c r="A41" s="46" t="n">
        <v>36</v>
      </c>
      <c r="B41" s="47" t="s">
        <v>270</v>
      </c>
      <c r="C41" s="46" t="s">
        <v>271</v>
      </c>
      <c r="D41" s="48" t="s">
        <v>272</v>
      </c>
      <c r="E41" s="49" t="s">
        <v>273</v>
      </c>
      <c r="F41" s="46" t="s">
        <v>214</v>
      </c>
      <c r="G41" s="50" t="e">
        <f aca="false">ROUND(11*$H$3,0)</f>
        <v>#VALUE!</v>
      </c>
      <c r="H41" s="51" t="e">
        <f aca="false">$C$3+G41</f>
        <v>#VALUE!</v>
      </c>
      <c r="I41" s="52"/>
      <c r="J41" s="53" t="n">
        <f aca="false">IF(I41="Complete",1,IF(I41="Skipped",1,IF(I41="Blocked",0.5,IF(I41="In Progress",0.25,0))))</f>
        <v>0</v>
      </c>
      <c r="K41" s="54"/>
      <c r="L41" s="55"/>
      <c r="M41" s="56"/>
      <c r="N41" s="57" t="str">
        <f aca="false">IF(M41="","",M41-H41)</f>
        <v/>
      </c>
      <c r="O41" s="58" t="str">
        <f aca="false">IF(M41="","",ABS(M41-H41)*24)</f>
        <v/>
      </c>
      <c r="P41" s="46"/>
      <c r="Q41" s="59" t="s">
        <v>274</v>
      </c>
      <c r="R41" s="59" t="s">
        <v>275</v>
      </c>
      <c r="S41" s="59" t="s">
        <v>276</v>
      </c>
    </row>
    <row r="42" customFormat="false" ht="36" hidden="false" customHeight="true" outlineLevel="0" collapsed="false">
      <c r="A42" s="11" t="n">
        <v>37</v>
      </c>
      <c r="B42" s="64" t="s">
        <v>270</v>
      </c>
      <c r="C42" s="11" t="s">
        <v>277</v>
      </c>
      <c r="D42" s="65" t="s">
        <v>278</v>
      </c>
      <c r="E42" s="66" t="s">
        <v>279</v>
      </c>
      <c r="F42" s="11" t="s">
        <v>64</v>
      </c>
      <c r="G42" s="17" t="e">
        <f aca="false">ROUND(11*$H$3,0)</f>
        <v>#VALUE!</v>
      </c>
      <c r="H42" s="16" t="e">
        <f aca="false">$C$3+G42</f>
        <v>#VALUE!</v>
      </c>
      <c r="I42" s="52"/>
      <c r="J42" s="53" t="n">
        <f aca="false">IF(I42="Complete",1,IF(I42="Skipped",1,IF(I42="Blocked",0.5,IF(I42="In Progress",0.25,0))))</f>
        <v>0</v>
      </c>
      <c r="K42" s="54"/>
      <c r="L42" s="55"/>
      <c r="M42" s="56"/>
      <c r="N42" s="57" t="str">
        <f aca="false">IF(M42="","",M42-H42)</f>
        <v/>
      </c>
      <c r="O42" s="58" t="str">
        <f aca="false">IF(M42="","",ABS(M42-H42)*24)</f>
        <v/>
      </c>
      <c r="P42" s="11"/>
      <c r="Q42" s="67" t="s">
        <v>280</v>
      </c>
      <c r="R42" s="67" t="s">
        <v>281</v>
      </c>
      <c r="S42" s="67" t="s">
        <v>282</v>
      </c>
    </row>
    <row r="43" customFormat="false" ht="36" hidden="false" customHeight="true" outlineLevel="0" collapsed="false">
      <c r="A43" s="23" t="n">
        <v>38</v>
      </c>
      <c r="B43" s="60" t="s">
        <v>270</v>
      </c>
      <c r="C43" s="23" t="s">
        <v>283</v>
      </c>
      <c r="D43" s="61" t="s">
        <v>284</v>
      </c>
      <c r="E43" s="62" t="s">
        <v>285</v>
      </c>
      <c r="F43" s="23" t="s">
        <v>114</v>
      </c>
      <c r="G43" s="26" t="e">
        <f aca="false">ROUND(11*$H$3,0)</f>
        <v>#VALUE!</v>
      </c>
      <c r="H43" s="25" t="e">
        <f aca="false">$C$3+G43</f>
        <v>#VALUE!</v>
      </c>
      <c r="I43" s="52"/>
      <c r="J43" s="53" t="n">
        <f aca="false">IF(I43="Complete",1,IF(I43="Skipped",1,IF(I43="Blocked",0.5,IF(I43="In Progress",0.25,0))))</f>
        <v>0</v>
      </c>
      <c r="K43" s="54"/>
      <c r="L43" s="55"/>
      <c r="M43" s="56"/>
      <c r="N43" s="57" t="str">
        <f aca="false">IF(M43="","",M43-H43)</f>
        <v/>
      </c>
      <c r="O43" s="58" t="str">
        <f aca="false">IF(M43="","",ABS(M43-H43)*24)</f>
        <v/>
      </c>
      <c r="P43" s="23"/>
      <c r="Q43" s="63" t="s">
        <v>286</v>
      </c>
      <c r="R43" s="63" t="s">
        <v>287</v>
      </c>
      <c r="S43" s="63"/>
    </row>
    <row r="44" customFormat="false" ht="36" hidden="false" customHeight="true" outlineLevel="0" collapsed="false">
      <c r="A44" s="46" t="n">
        <v>39</v>
      </c>
      <c r="B44" s="47" t="s">
        <v>288</v>
      </c>
      <c r="C44" s="46" t="s">
        <v>289</v>
      </c>
      <c r="D44" s="48" t="s">
        <v>290</v>
      </c>
      <c r="E44" s="49" t="s">
        <v>291</v>
      </c>
      <c r="F44" s="46" t="s">
        <v>64</v>
      </c>
      <c r="G44" s="50" t="e">
        <f aca="false">ROUND(12*$H$3,0)</f>
        <v>#VALUE!</v>
      </c>
      <c r="H44" s="51" t="e">
        <f aca="false">$C$3+G44</f>
        <v>#VALUE!</v>
      </c>
      <c r="I44" s="52"/>
      <c r="J44" s="53" t="n">
        <f aca="false">IF(I44="Complete",1,IF(I44="Skipped",1,IF(I44="Blocked",0.5,IF(I44="In Progress",0.25,0))))</f>
        <v>0</v>
      </c>
      <c r="K44" s="54"/>
      <c r="L44" s="55"/>
      <c r="M44" s="56"/>
      <c r="N44" s="57" t="str">
        <f aca="false">IF(M44="","",M44-H44)</f>
        <v/>
      </c>
      <c r="O44" s="58" t="str">
        <f aca="false">IF(M44="","",ABS(M44-H44)*24)</f>
        <v/>
      </c>
      <c r="P44" s="46"/>
      <c r="Q44" s="59" t="s">
        <v>292</v>
      </c>
      <c r="R44" s="59" t="s">
        <v>293</v>
      </c>
      <c r="S44" s="59" t="s">
        <v>294</v>
      </c>
    </row>
    <row r="45" customFormat="false" ht="36" hidden="false" customHeight="true" outlineLevel="0" collapsed="false">
      <c r="A45" s="23" t="n">
        <v>40</v>
      </c>
      <c r="B45" s="60" t="s">
        <v>288</v>
      </c>
      <c r="C45" s="23" t="s">
        <v>295</v>
      </c>
      <c r="D45" s="61" t="s">
        <v>296</v>
      </c>
      <c r="E45" s="62" t="s">
        <v>297</v>
      </c>
      <c r="F45" s="23" t="s">
        <v>64</v>
      </c>
      <c r="G45" s="26" t="e">
        <f aca="false">ROUND(12*$H$3,0)</f>
        <v>#VALUE!</v>
      </c>
      <c r="H45" s="25" t="e">
        <f aca="false">$C$3+G45</f>
        <v>#VALUE!</v>
      </c>
      <c r="I45" s="52"/>
      <c r="J45" s="53" t="n">
        <f aca="false">IF(I45="Complete",1,IF(I45="Skipped",1,IF(I45="Blocked",0.5,IF(I45="In Progress",0.25,0))))</f>
        <v>0</v>
      </c>
      <c r="K45" s="54"/>
      <c r="L45" s="55"/>
      <c r="M45" s="56"/>
      <c r="N45" s="57" t="str">
        <f aca="false">IF(M45="","",M45-H45)</f>
        <v/>
      </c>
      <c r="O45" s="58" t="str">
        <f aca="false">IF(M45="","",ABS(M45-H45)*24)</f>
        <v/>
      </c>
      <c r="P45" s="23"/>
      <c r="Q45" s="63" t="s">
        <v>298</v>
      </c>
      <c r="R45" s="63" t="s">
        <v>299</v>
      </c>
      <c r="S45" s="63" t="s">
        <v>300</v>
      </c>
    </row>
    <row r="46" customFormat="false" ht="36" hidden="false" customHeight="true" outlineLevel="0" collapsed="false">
      <c r="A46" s="11" t="n">
        <v>41</v>
      </c>
      <c r="B46" s="64" t="s">
        <v>288</v>
      </c>
      <c r="C46" s="11" t="s">
        <v>301</v>
      </c>
      <c r="D46" s="65" t="s">
        <v>302</v>
      </c>
      <c r="E46" s="66" t="s">
        <v>303</v>
      </c>
      <c r="F46" s="11" t="s">
        <v>114</v>
      </c>
      <c r="G46" s="17" t="e">
        <f aca="false">ROUND(12*$H$3,0)</f>
        <v>#VALUE!</v>
      </c>
      <c r="H46" s="16" t="e">
        <f aca="false">$C$3+G46</f>
        <v>#VALUE!</v>
      </c>
      <c r="I46" s="52"/>
      <c r="J46" s="53" t="n">
        <f aca="false">IF(I46="Complete",1,IF(I46="Skipped",1,IF(I46="Blocked",0.5,IF(I46="In Progress",0.25,0))))</f>
        <v>0</v>
      </c>
      <c r="K46" s="54"/>
      <c r="L46" s="55"/>
      <c r="M46" s="56"/>
      <c r="N46" s="57" t="str">
        <f aca="false">IF(M46="","",M46-H46)</f>
        <v/>
      </c>
      <c r="O46" s="58" t="str">
        <f aca="false">IF(M46="","",ABS(M46-H46)*24)</f>
        <v/>
      </c>
      <c r="P46" s="11"/>
      <c r="Q46" s="67" t="s">
        <v>304</v>
      </c>
      <c r="R46" s="67" t="s">
        <v>305</v>
      </c>
      <c r="S46" s="67" t="s">
        <v>306</v>
      </c>
    </row>
    <row r="47" customFormat="false" ht="36" hidden="false" customHeight="true" outlineLevel="0" collapsed="false">
      <c r="A47" s="23" t="n">
        <v>42</v>
      </c>
      <c r="B47" s="60" t="s">
        <v>288</v>
      </c>
      <c r="C47" s="23" t="s">
        <v>307</v>
      </c>
      <c r="D47" s="61" t="s">
        <v>308</v>
      </c>
      <c r="E47" s="62" t="s">
        <v>309</v>
      </c>
      <c r="F47" s="23" t="s">
        <v>64</v>
      </c>
      <c r="G47" s="26" t="e">
        <f aca="false">ROUND(13*$H$3,0)</f>
        <v>#VALUE!</v>
      </c>
      <c r="H47" s="25" t="e">
        <f aca="false">$C$3+G47</f>
        <v>#VALUE!</v>
      </c>
      <c r="I47" s="52"/>
      <c r="J47" s="53" t="n">
        <f aca="false">IF(I47="Complete",1,IF(I47="Skipped",1,IF(I47="Blocked",0.5,IF(I47="In Progress",0.25,0))))</f>
        <v>0</v>
      </c>
      <c r="K47" s="54"/>
      <c r="L47" s="55"/>
      <c r="M47" s="56"/>
      <c r="N47" s="57" t="str">
        <f aca="false">IF(M47="","",M47-H47)</f>
        <v/>
      </c>
      <c r="O47" s="58" t="str">
        <f aca="false">IF(M47="","",ABS(M47-H47)*24)</f>
        <v/>
      </c>
      <c r="P47" s="23"/>
      <c r="Q47" s="63" t="s">
        <v>310</v>
      </c>
      <c r="R47" s="63" t="s">
        <v>311</v>
      </c>
      <c r="S47" s="63" t="s">
        <v>312</v>
      </c>
    </row>
    <row r="48" customFormat="false" ht="36" hidden="false" customHeight="true" outlineLevel="0" collapsed="false">
      <c r="A48" s="11" t="n">
        <v>43</v>
      </c>
      <c r="B48" s="64" t="s">
        <v>288</v>
      </c>
      <c r="C48" s="11" t="s">
        <v>313</v>
      </c>
      <c r="D48" s="65" t="s">
        <v>314</v>
      </c>
      <c r="E48" s="66" t="s">
        <v>315</v>
      </c>
      <c r="F48" s="11" t="s">
        <v>214</v>
      </c>
      <c r="G48" s="17" t="e">
        <f aca="false">ROUND(13*$H$3,0)</f>
        <v>#VALUE!</v>
      </c>
      <c r="H48" s="16" t="e">
        <f aca="false">$C$3+G48</f>
        <v>#VALUE!</v>
      </c>
      <c r="I48" s="52"/>
      <c r="J48" s="53" t="n">
        <f aca="false">IF(I48="Complete",1,IF(I48="Skipped",1,IF(I48="Blocked",0.5,IF(I48="In Progress",0.25,0))))</f>
        <v>0</v>
      </c>
      <c r="K48" s="54"/>
      <c r="L48" s="55"/>
      <c r="M48" s="56"/>
      <c r="N48" s="57" t="str">
        <f aca="false">IF(M48="","",M48-H48)</f>
        <v/>
      </c>
      <c r="O48" s="58" t="str">
        <f aca="false">IF(M48="","",ABS(M48-H48)*24)</f>
        <v/>
      </c>
      <c r="P48" s="11"/>
      <c r="Q48" s="67" t="s">
        <v>316</v>
      </c>
      <c r="R48" s="67" t="s">
        <v>317</v>
      </c>
      <c r="S48" s="67" t="s">
        <v>318</v>
      </c>
    </row>
    <row r="49" customFormat="false" ht="36" hidden="false" customHeight="true" outlineLevel="0" collapsed="false">
      <c r="A49" s="23" t="n">
        <v>44</v>
      </c>
      <c r="B49" s="60" t="s">
        <v>288</v>
      </c>
      <c r="C49" s="23" t="s">
        <v>319</v>
      </c>
      <c r="D49" s="61" t="s">
        <v>320</v>
      </c>
      <c r="E49" s="62" t="s">
        <v>321</v>
      </c>
      <c r="F49" s="23" t="s">
        <v>64</v>
      </c>
      <c r="G49" s="26" t="e">
        <f aca="false">ROUND(14*$H$3,0)</f>
        <v>#VALUE!</v>
      </c>
      <c r="H49" s="25" t="e">
        <f aca="false">$C$3+G49</f>
        <v>#VALUE!</v>
      </c>
      <c r="I49" s="52"/>
      <c r="J49" s="53" t="n">
        <f aca="false">IF(I49="Complete",1,IF(I49="Skipped",1,IF(I49="Blocked",0.5,IF(I49="In Progress",0.25,0))))</f>
        <v>0</v>
      </c>
      <c r="K49" s="54"/>
      <c r="L49" s="55"/>
      <c r="M49" s="56"/>
      <c r="N49" s="57" t="str">
        <f aca="false">IF(M49="","",M49-H49)</f>
        <v/>
      </c>
      <c r="O49" s="58" t="str">
        <f aca="false">IF(M49="","",ABS(M49-H49)*24)</f>
        <v/>
      </c>
      <c r="P49" s="23"/>
      <c r="Q49" s="63" t="s">
        <v>322</v>
      </c>
      <c r="R49" s="63" t="s">
        <v>323</v>
      </c>
      <c r="S49" s="63" t="s">
        <v>324</v>
      </c>
    </row>
    <row r="50" customFormat="false" ht="36" hidden="false" customHeight="true" outlineLevel="0" collapsed="false">
      <c r="A50" s="11" t="n">
        <v>45</v>
      </c>
      <c r="B50" s="64" t="s">
        <v>288</v>
      </c>
      <c r="C50" s="11" t="s">
        <v>325</v>
      </c>
      <c r="D50" s="65" t="s">
        <v>326</v>
      </c>
      <c r="E50" s="66" t="s">
        <v>327</v>
      </c>
      <c r="F50" s="11" t="s">
        <v>64</v>
      </c>
      <c r="G50" s="17" t="e">
        <f aca="false">ROUND(14*$H$3,0)</f>
        <v>#VALUE!</v>
      </c>
      <c r="H50" s="16" t="e">
        <f aca="false">$C$3+G50</f>
        <v>#VALUE!</v>
      </c>
      <c r="I50" s="52"/>
      <c r="J50" s="53" t="n">
        <f aca="false">IF(I50="Complete",1,IF(I50="Skipped",1,IF(I50="Blocked",0.5,IF(I50="In Progress",0.25,0))))</f>
        <v>0</v>
      </c>
      <c r="K50" s="54"/>
      <c r="L50" s="55"/>
      <c r="M50" s="56"/>
      <c r="N50" s="57" t="str">
        <f aca="false">IF(M50="","",M50-H50)</f>
        <v/>
      </c>
      <c r="O50" s="58" t="str">
        <f aca="false">IF(M50="","",ABS(M50-H50)*24)</f>
        <v/>
      </c>
      <c r="P50" s="11"/>
      <c r="Q50" s="67" t="s">
        <v>328</v>
      </c>
      <c r="R50" s="67" t="s">
        <v>66</v>
      </c>
      <c r="S50" s="67" t="s">
        <v>329</v>
      </c>
    </row>
    <row r="51" customFormat="false" ht="36" hidden="false" customHeight="true" outlineLevel="0" collapsed="false">
      <c r="A51" s="23" t="n">
        <v>46</v>
      </c>
      <c r="B51" s="60" t="s">
        <v>288</v>
      </c>
      <c r="C51" s="23" t="s">
        <v>330</v>
      </c>
      <c r="D51" s="61" t="s">
        <v>331</v>
      </c>
      <c r="E51" s="62" t="s">
        <v>332</v>
      </c>
      <c r="F51" s="23" t="s">
        <v>114</v>
      </c>
      <c r="G51" s="26" t="e">
        <f aca="false">ROUND(14*$H$3,0)</f>
        <v>#VALUE!</v>
      </c>
      <c r="H51" s="25" t="e">
        <f aca="false">$C$3+G51</f>
        <v>#VALUE!</v>
      </c>
      <c r="I51" s="52"/>
      <c r="J51" s="53" t="n">
        <f aca="false">IF(I51="Complete",1,IF(I51="Skipped",1,IF(I51="Blocked",0.5,IF(I51="In Progress",0.25,0))))</f>
        <v>0</v>
      </c>
      <c r="K51" s="54"/>
      <c r="L51" s="55"/>
      <c r="M51" s="56"/>
      <c r="N51" s="57" t="str">
        <f aca="false">IF(M51="","",M51-H51)</f>
        <v/>
      </c>
      <c r="O51" s="58" t="str">
        <f aca="false">IF(M51="","",ABS(M51-H51)*24)</f>
        <v/>
      </c>
      <c r="P51" s="23"/>
      <c r="Q51" s="63" t="s">
        <v>333</v>
      </c>
      <c r="R51" s="63" t="s">
        <v>116</v>
      </c>
      <c r="S51" s="63" t="s">
        <v>334</v>
      </c>
    </row>
    <row r="53" customFormat="false" ht="15" hidden="false" customHeight="true" outlineLevel="0" collapsed="false">
      <c r="A53" s="9" t="s">
        <v>335</v>
      </c>
      <c r="B53" s="9"/>
      <c r="C53" s="9"/>
      <c r="D53" s="9"/>
      <c r="E53" s="9"/>
      <c r="F53" s="9"/>
      <c r="G53" s="31"/>
      <c r="H53" s="31"/>
      <c r="I53" s="68" t="s">
        <v>336</v>
      </c>
      <c r="J53" s="69" t="n">
        <f aca="false">AVERAGE(J6:J51)</f>
        <v>0</v>
      </c>
      <c r="K53" s="31"/>
      <c r="L53" s="68" t="s">
        <v>337</v>
      </c>
      <c r="M53" s="9" t="n">
        <f aca="false">SUMPRODUCT((M6:M51&lt;&gt;"")*1)</f>
        <v>0</v>
      </c>
      <c r="N53" s="31"/>
      <c r="O53" s="33" t="n">
        <f aca="false">SUM(O6:O51)</f>
        <v>0</v>
      </c>
      <c r="P53" s="31"/>
      <c r="Q53" s="31"/>
      <c r="R53" s="31"/>
      <c r="S53" s="31"/>
    </row>
    <row r="54" customFormat="false" ht="15" hidden="false" customHeight="false" outlineLevel="0" collapsed="false">
      <c r="M54" s="70" t="s">
        <v>338</v>
      </c>
      <c r="N54" s="71" t="str">
        <f aca="false">IFERROR(AVERAGE(N6:N51),"")</f>
        <v/>
      </c>
    </row>
    <row r="55" customFormat="false" ht="15" hidden="false" customHeight="false" outlineLevel="0" collapsed="false">
      <c r="M55" s="70" t="s">
        <v>339</v>
      </c>
      <c r="N55" s="72" t="n">
        <f aca="false">IFERROR(MAX(N6:N51),"")</f>
        <v>0</v>
      </c>
    </row>
  </sheetData>
  <autoFilter ref="A5:S5"/>
  <mergeCells count="5">
    <mergeCell ref="A1:S1"/>
    <mergeCell ref="A3:B3"/>
    <mergeCell ref="E3:F3"/>
    <mergeCell ref="I3:J3"/>
    <mergeCell ref="A53:F53"/>
  </mergeCells>
  <conditionalFormatting sqref="I6:I51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0">
      <formula>"Skipped"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2">
      <formula>"In Progress"</formula>
    </cfRule>
  </conditionalFormatting>
  <conditionalFormatting sqref="J6:J51">
    <cfRule type="expression" priority="6" aboveAverage="0" equalAverage="0" bottom="0" percent="0" rank="0" text="" dxfId="14">
      <formula>$J6=1</formula>
    </cfRule>
    <cfRule type="expression" priority="7" aboveAverage="0" equalAverage="0" bottom="0" percent="0" rank="0" text="" dxfId="15">
      <formula>$J6&gt;=0.5</formula>
    </cfRule>
    <cfRule type="expression" priority="8" aboveAverage="0" equalAverage="0" bottom="0" percent="0" rank="0" text="" dxfId="16">
      <formula>$J6&gt;=0.25</formula>
    </cfRule>
  </conditionalFormatting>
  <conditionalFormatting sqref="K6:K51">
    <cfRule type="expression" priority="9" aboveAverage="0" equalAverage="0" bottom="0" percent="0" rank="0" text="" dxfId="17">
      <formula>AND($I6="Complete",$K6="")</formula>
    </cfRule>
    <cfRule type="expression" priority="10" aboveAverage="0" equalAverage="0" bottom="0" percent="0" rank="0" text="" dxfId="14">
      <formula>AND(OR($I6="Complete",$I6="Skipped"),$K6&lt;&gt;"")</formula>
    </cfRule>
  </conditionalFormatting>
  <conditionalFormatting sqref="L6:L51">
    <cfRule type="expression" priority="11" aboveAverage="0" equalAverage="0" bottom="0" percent="0" rank="0" text="" dxfId="17">
      <formula>AND($I6="Complete",$L6="")</formula>
    </cfRule>
    <cfRule type="expression" priority="12" aboveAverage="0" equalAverage="0" bottom="0" percent="0" rank="0" text="" dxfId="18">
      <formula>AND($I6="In Progress",$L6="")</formula>
    </cfRule>
  </conditionalFormatting>
  <conditionalFormatting sqref="M6:M51">
    <cfRule type="expression" priority="13" aboveAverage="0" equalAverage="0" bottom="0" percent="0" rank="0" text="" dxfId="17">
      <formula>AND($I6="Complete",$M6="")</formula>
    </cfRule>
    <cfRule type="expression" priority="14" aboveAverage="0" equalAverage="0" bottom="0" percent="0" rank="0" text="" dxfId="14">
      <formula>AND($I6="Complete",$M6&lt;&gt;"")</formula>
    </cfRule>
  </conditionalFormatting>
  <conditionalFormatting sqref="A6:S51">
    <cfRule type="expression" priority="15" aboveAverage="0" equalAverage="0" bottom="0" percent="0" rank="0" text="" dxfId="19">
      <formula>AND($M6&lt;&gt;"",$N6&gt;=5)</formula>
    </cfRule>
    <cfRule type="expression" priority="16" aboveAverage="0" equalAverage="0" bottom="0" percent="0" rank="0" text="" dxfId="19">
      <formula>AND($M6&lt;&gt;"",$N6&gt;=4)</formula>
    </cfRule>
    <cfRule type="expression" priority="17" aboveAverage="0" equalAverage="0" bottom="0" percent="0" rank="0" text="" dxfId="20">
      <formula>AND($M6&lt;&gt;"",$N6&gt;=3)</formula>
    </cfRule>
    <cfRule type="expression" priority="18" aboveAverage="0" equalAverage="0" bottom="0" percent="0" rank="0" text="" dxfId="20">
      <formula>AND($M6&lt;&gt;"",$N6&gt;=2)</formula>
    </cfRule>
    <cfRule type="expression" priority="19" aboveAverage="0" equalAverage="0" bottom="0" percent="0" rank="0" text="" dxfId="21">
      <formula>AND($M6&lt;&gt;"",$N6&gt;=1)</formula>
    </cfRule>
    <cfRule type="expression" priority="20" aboveAverage="0" equalAverage="0" bottom="0" percent="0" rank="0" text="" dxfId="22">
      <formula>AND($M6&lt;&gt;"",$N6&lt;=0)</formula>
    </cfRule>
  </conditionalFormatting>
  <conditionalFormatting sqref="N6:N51">
    <cfRule type="expression" priority="21" aboveAverage="0" equalAverage="0" bottom="0" percent="0" rank="0" text="" dxfId="23">
      <formula>AND($M6&lt;&gt;"",$N6&gt;=5)</formula>
    </cfRule>
    <cfRule type="expression" priority="22" aboveAverage="0" equalAverage="0" bottom="0" percent="0" rank="0" text="" dxfId="24">
      <formula>AND($M6&lt;&gt;"",$N6&gt;=3)</formula>
    </cfRule>
    <cfRule type="expression" priority="23" aboveAverage="0" equalAverage="0" bottom="0" percent="0" rank="0" text="" dxfId="25">
      <formula>AND($M6&lt;&gt;"",$N6&gt;=1)</formula>
    </cfRule>
    <cfRule type="expression" priority="24" aboveAverage="0" equalAverage="0" bottom="0" percent="0" rank="0" text="" dxfId="26">
      <formula>AND($M6&lt;&gt;"",$N6&lt;=0)</formula>
    </cfRule>
  </conditionalFormatting>
  <dataValidations count="3">
    <dataValidation allowBlank="true" errorStyle="stop" operator="between" prompt="Complete needs: sign-off name + report link + completed date" promptTitle="Status" showDropDown="false" showErrorMessage="false" showInputMessage="true" sqref="I6:I51" type="list">
      <formula1>"Not Started,In Progress,Blocked,Complete,Skipped"</formula1>
      <formula2>0</formula2>
    </dataValidation>
    <dataValidation allowBlank="true" errorStyle="stop" operator="between" prompt="Select team member" promptTitle="Sign Off" showDropDown="false" showErrorMessage="false" showInputMessage="true" sqref="K6:K51" type="list">
      <formula1>TeamMembers</formula1>
      <formula2>0</formula2>
    </dataValidation>
    <dataValidation allowBlank="true" error="Enter a valid date (YYYY-MM-DD)" errorStyle="stop" errorTitle="Invalid Date" operator="greaterThan" prompt="Type the completion date (YYYY-MM-DD)" promptTitle="Completed Date" showDropDown="false" showErrorMessage="true" showInputMessage="true" sqref="M6:M51" type="date">
      <formula1>2020-1-1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tru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4" min="14" style="0" width="7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46"/>
    <col collapsed="false" customWidth="true" hidden="false" outlineLevel="0" max="19" min="18" style="0" width="38"/>
  </cols>
  <sheetData>
    <row r="1" customFormat="false" ht="17.35" hidden="false" customHeight="false" outlineLevel="0" collapsed="false">
      <c r="A1" s="1" t="str">
        <f aca="false">IF(Config!B12&lt;&gt;"",Config!B12&amp;" — DNS, Certificate &amp; SSO Migration Runbook","Project 7 — Assign name on Config sheet")</f>
        <v>Project 7 — Assign name on Config sheet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27.75" hidden="false" customHeight="true" outlineLevel="0" collapsed="false">
      <c r="A3" s="35" t="s">
        <v>40</v>
      </c>
      <c r="B3" s="35"/>
      <c r="C3" s="36" t="n">
        <f aca="false">Config!C12</f>
        <v>0</v>
      </c>
      <c r="D3" s="35" t="s">
        <v>41</v>
      </c>
      <c r="E3" s="37" t="n">
        <f aca="false">Config!D12</f>
        <v>0</v>
      </c>
      <c r="F3" s="37"/>
      <c r="G3" s="35" t="s">
        <v>42</v>
      </c>
      <c r="H3" s="38" t="str">
        <f aca="false">Config!E12</f>
        <v/>
      </c>
      <c r="I3" s="35" t="s">
        <v>43</v>
      </c>
      <c r="J3" s="35"/>
      <c r="K3" s="36" t="str">
        <f aca="false">Config!F12</f>
        <v/>
      </c>
      <c r="L3" s="35" t="s">
        <v>44</v>
      </c>
      <c r="M3" s="39" t="str">
        <f aca="false">Config!G12</f>
        <v/>
      </c>
      <c r="N3" s="40"/>
      <c r="O3" s="40"/>
      <c r="P3" s="40"/>
      <c r="Q3" s="40"/>
      <c r="R3" s="40"/>
      <c r="S3" s="40"/>
    </row>
    <row r="5" customFormat="false" ht="35.05" hidden="false" customHeight="false" outlineLevel="0" collapsed="false">
      <c r="A5" s="9" t="s">
        <v>10</v>
      </c>
      <c r="B5" s="9" t="s">
        <v>45</v>
      </c>
      <c r="C5" s="9" t="s">
        <v>46</v>
      </c>
      <c r="D5" s="9" t="s">
        <v>47</v>
      </c>
      <c r="E5" s="9" t="s">
        <v>48</v>
      </c>
      <c r="F5" s="9" t="s">
        <v>49</v>
      </c>
      <c r="G5" s="9" t="s">
        <v>50</v>
      </c>
      <c r="H5" s="9" t="s">
        <v>51</v>
      </c>
      <c r="I5" s="41" t="s">
        <v>20</v>
      </c>
      <c r="J5" s="42" t="s">
        <v>17</v>
      </c>
      <c r="K5" s="43" t="s">
        <v>52</v>
      </c>
      <c r="L5" s="44" t="s">
        <v>53</v>
      </c>
      <c r="M5" s="45" t="s">
        <v>18</v>
      </c>
      <c r="N5" s="9" t="s">
        <v>54</v>
      </c>
      <c r="O5" s="9" t="s">
        <v>55</v>
      </c>
      <c r="P5" s="9" t="s">
        <v>56</v>
      </c>
      <c r="Q5" s="9" t="s">
        <v>57</v>
      </c>
      <c r="R5" s="9" t="s">
        <v>58</v>
      </c>
      <c r="S5" s="9" t="s">
        <v>59</v>
      </c>
    </row>
    <row r="6" customFormat="false" ht="36" hidden="false" customHeight="true" outlineLevel="0" collapsed="false">
      <c r="A6" s="46" t="n">
        <v>1</v>
      </c>
      <c r="B6" s="47" t="s">
        <v>60</v>
      </c>
      <c r="C6" s="46" t="s">
        <v>61</v>
      </c>
      <c r="D6" s="48" t="s">
        <v>62</v>
      </c>
      <c r="E6" s="49" t="s">
        <v>63</v>
      </c>
      <c r="F6" s="46" t="s">
        <v>64</v>
      </c>
      <c r="G6" s="50" t="e">
        <f aca="false">ROUND(0*$H$3,0)</f>
        <v>#VALUE!</v>
      </c>
      <c r="H6" s="51" t="e">
        <f aca="false">$C$3+G6</f>
        <v>#VALUE!</v>
      </c>
      <c r="I6" s="52"/>
      <c r="J6" s="53" t="n">
        <f aca="false">IF(I6="Complete",1,IF(I6="Skipped",1,IF(I6="Blocked",0.5,IF(I6="In Progress",0.25,0))))</f>
        <v>0</v>
      </c>
      <c r="K6" s="54"/>
      <c r="L6" s="55"/>
      <c r="M6" s="56"/>
      <c r="N6" s="57" t="str">
        <f aca="false">IF(M6="","",M6-H6)</f>
        <v/>
      </c>
      <c r="O6" s="58" t="str">
        <f aca="false">IF(M6="","",ABS(M6-H6)*24)</f>
        <v/>
      </c>
      <c r="P6" s="46"/>
      <c r="Q6" s="59" t="s">
        <v>65</v>
      </c>
      <c r="R6" s="59" t="s">
        <v>66</v>
      </c>
      <c r="S6" s="59" t="s">
        <v>67</v>
      </c>
    </row>
    <row r="7" customFormat="false" ht="36" hidden="false" customHeight="true" outlineLevel="0" collapsed="false">
      <c r="A7" s="23" t="n">
        <v>2</v>
      </c>
      <c r="B7" s="60" t="s">
        <v>60</v>
      </c>
      <c r="C7" s="23" t="s">
        <v>68</v>
      </c>
      <c r="D7" s="61" t="s">
        <v>69</v>
      </c>
      <c r="E7" s="62" t="s">
        <v>70</v>
      </c>
      <c r="F7" s="23" t="s">
        <v>64</v>
      </c>
      <c r="G7" s="26" t="e">
        <f aca="false">ROUND(0*$H$3,0)</f>
        <v>#VALUE!</v>
      </c>
      <c r="H7" s="25" t="e">
        <f aca="false">$C$3+G7</f>
        <v>#VALUE!</v>
      </c>
      <c r="I7" s="52"/>
      <c r="J7" s="53" t="n">
        <f aca="false">IF(I7="Complete",1,IF(I7="Skipped",1,IF(I7="Blocked",0.5,IF(I7="In Progress",0.25,0))))</f>
        <v>0</v>
      </c>
      <c r="K7" s="54"/>
      <c r="L7" s="55"/>
      <c r="M7" s="56"/>
      <c r="N7" s="57" t="str">
        <f aca="false">IF(M7="","",M7-H7)</f>
        <v/>
      </c>
      <c r="O7" s="58" t="str">
        <f aca="false">IF(M7="","",ABS(M7-H7)*24)</f>
        <v/>
      </c>
      <c r="P7" s="23"/>
      <c r="Q7" s="63" t="s">
        <v>71</v>
      </c>
      <c r="R7" s="63" t="s">
        <v>66</v>
      </c>
      <c r="S7" s="63" t="s">
        <v>72</v>
      </c>
    </row>
    <row r="8" customFormat="false" ht="36" hidden="false" customHeight="true" outlineLevel="0" collapsed="false">
      <c r="A8" s="11" t="n">
        <v>3</v>
      </c>
      <c r="B8" s="64" t="s">
        <v>60</v>
      </c>
      <c r="C8" s="11" t="s">
        <v>73</v>
      </c>
      <c r="D8" s="65" t="s">
        <v>74</v>
      </c>
      <c r="E8" s="66" t="s">
        <v>75</v>
      </c>
      <c r="F8" s="11" t="s">
        <v>64</v>
      </c>
      <c r="G8" s="17" t="e">
        <f aca="false">ROUND(0*$H$3,0)</f>
        <v>#VALUE!</v>
      </c>
      <c r="H8" s="16" t="e">
        <f aca="false">$C$3+G8</f>
        <v>#VALUE!</v>
      </c>
      <c r="I8" s="52"/>
      <c r="J8" s="53" t="n">
        <f aca="false">IF(I8="Complete",1,IF(I8="Skipped",1,IF(I8="Blocked",0.5,IF(I8="In Progress",0.25,0))))</f>
        <v>0</v>
      </c>
      <c r="K8" s="54"/>
      <c r="L8" s="55"/>
      <c r="M8" s="56"/>
      <c r="N8" s="57" t="str">
        <f aca="false">IF(M8="","",M8-H8)</f>
        <v/>
      </c>
      <c r="O8" s="58" t="str">
        <f aca="false">IF(M8="","",ABS(M8-H8)*24)</f>
        <v/>
      </c>
      <c r="P8" s="11"/>
      <c r="Q8" s="67" t="s">
        <v>76</v>
      </c>
      <c r="R8" s="67" t="s">
        <v>66</v>
      </c>
      <c r="S8" s="67" t="s">
        <v>77</v>
      </c>
    </row>
    <row r="9" customFormat="false" ht="36" hidden="false" customHeight="true" outlineLevel="0" collapsed="false">
      <c r="A9" s="23" t="n">
        <v>4</v>
      </c>
      <c r="B9" s="60" t="s">
        <v>60</v>
      </c>
      <c r="C9" s="23" t="s">
        <v>78</v>
      </c>
      <c r="D9" s="61" t="s">
        <v>79</v>
      </c>
      <c r="E9" s="62" t="s">
        <v>80</v>
      </c>
      <c r="F9" s="23" t="s">
        <v>64</v>
      </c>
      <c r="G9" s="26" t="e">
        <f aca="false">ROUND(1*$H$3,0)</f>
        <v>#VALUE!</v>
      </c>
      <c r="H9" s="25" t="e">
        <f aca="false">$C$3+G9</f>
        <v>#VALUE!</v>
      </c>
      <c r="I9" s="52"/>
      <c r="J9" s="53" t="n">
        <f aca="false">IF(I9="Complete",1,IF(I9="Skipped",1,IF(I9="Blocked",0.5,IF(I9="In Progress",0.25,0))))</f>
        <v>0</v>
      </c>
      <c r="K9" s="54"/>
      <c r="L9" s="55"/>
      <c r="M9" s="56"/>
      <c r="N9" s="57" t="str">
        <f aca="false">IF(M9="","",M9-H9)</f>
        <v/>
      </c>
      <c r="O9" s="58" t="str">
        <f aca="false">IF(M9="","",ABS(M9-H9)*24)</f>
        <v/>
      </c>
      <c r="P9" s="23"/>
      <c r="Q9" s="63" t="s">
        <v>81</v>
      </c>
      <c r="R9" s="63" t="s">
        <v>66</v>
      </c>
      <c r="S9" s="63" t="s">
        <v>82</v>
      </c>
    </row>
    <row r="10" customFormat="false" ht="36" hidden="false" customHeight="true" outlineLevel="0" collapsed="false">
      <c r="A10" s="11" t="n">
        <v>5</v>
      </c>
      <c r="B10" s="64" t="s">
        <v>60</v>
      </c>
      <c r="C10" s="11" t="s">
        <v>83</v>
      </c>
      <c r="D10" s="65" t="s">
        <v>84</v>
      </c>
      <c r="E10" s="66" t="s">
        <v>85</v>
      </c>
      <c r="F10" s="11" t="s">
        <v>64</v>
      </c>
      <c r="G10" s="17" t="e">
        <f aca="false">ROUND(1*$H$3,0)</f>
        <v>#VALUE!</v>
      </c>
      <c r="H10" s="16" t="e">
        <f aca="false">$C$3+G10</f>
        <v>#VALUE!</v>
      </c>
      <c r="I10" s="52"/>
      <c r="J10" s="53" t="n">
        <f aca="false">IF(I10="Complete",1,IF(I10="Skipped",1,IF(I10="Blocked",0.5,IF(I10="In Progress",0.25,0))))</f>
        <v>0</v>
      </c>
      <c r="K10" s="54"/>
      <c r="L10" s="55"/>
      <c r="M10" s="56"/>
      <c r="N10" s="57" t="str">
        <f aca="false">IF(M10="","",M10-H10)</f>
        <v/>
      </c>
      <c r="O10" s="58" t="str">
        <f aca="false">IF(M10="","",ABS(M10-H10)*24)</f>
        <v/>
      </c>
      <c r="P10" s="11"/>
      <c r="Q10" s="67" t="s">
        <v>86</v>
      </c>
      <c r="R10" s="67" t="s">
        <v>66</v>
      </c>
      <c r="S10" s="67" t="s">
        <v>87</v>
      </c>
    </row>
    <row r="11" customFormat="false" ht="36" hidden="false" customHeight="true" outlineLevel="0" collapsed="false">
      <c r="A11" s="23" t="n">
        <v>6</v>
      </c>
      <c r="B11" s="60" t="s">
        <v>60</v>
      </c>
      <c r="C11" s="23" t="s">
        <v>88</v>
      </c>
      <c r="D11" s="61" t="s">
        <v>89</v>
      </c>
      <c r="E11" s="62" t="s">
        <v>90</v>
      </c>
      <c r="F11" s="23" t="s">
        <v>64</v>
      </c>
      <c r="G11" s="26" t="e">
        <f aca="false">ROUND(1*$H$3,0)</f>
        <v>#VALUE!</v>
      </c>
      <c r="H11" s="25" t="e">
        <f aca="false">$C$3+G11</f>
        <v>#VALUE!</v>
      </c>
      <c r="I11" s="52"/>
      <c r="J11" s="53" t="n">
        <f aca="false">IF(I11="Complete",1,IF(I11="Skipped",1,IF(I11="Blocked",0.5,IF(I11="In Progress",0.25,0))))</f>
        <v>0</v>
      </c>
      <c r="K11" s="54"/>
      <c r="L11" s="55"/>
      <c r="M11" s="56"/>
      <c r="N11" s="57" t="str">
        <f aca="false">IF(M11="","",M11-H11)</f>
        <v/>
      </c>
      <c r="O11" s="58" t="str">
        <f aca="false">IF(M11="","",ABS(M11-H11)*24)</f>
        <v/>
      </c>
      <c r="P11" s="23"/>
      <c r="Q11" s="63" t="s">
        <v>91</v>
      </c>
      <c r="R11" s="63" t="s">
        <v>66</v>
      </c>
      <c r="S11" s="63" t="s">
        <v>92</v>
      </c>
    </row>
    <row r="12" customFormat="false" ht="36" hidden="false" customHeight="true" outlineLevel="0" collapsed="false">
      <c r="A12" s="11" t="n">
        <v>7</v>
      </c>
      <c r="B12" s="64" t="s">
        <v>60</v>
      </c>
      <c r="C12" s="11" t="s">
        <v>93</v>
      </c>
      <c r="D12" s="65" t="s">
        <v>94</v>
      </c>
      <c r="E12" s="66" t="s">
        <v>95</v>
      </c>
      <c r="F12" s="11" t="s">
        <v>96</v>
      </c>
      <c r="G12" s="17" t="e">
        <f aca="false">ROUND(1*$H$3,0)</f>
        <v>#VALUE!</v>
      </c>
      <c r="H12" s="16" t="e">
        <f aca="false">$C$3+G12</f>
        <v>#VALUE!</v>
      </c>
      <c r="I12" s="52"/>
      <c r="J12" s="53" t="n">
        <f aca="false">IF(I12="Complete",1,IF(I12="Skipped",1,IF(I12="Blocked",0.5,IF(I12="In Progress",0.25,0))))</f>
        <v>0</v>
      </c>
      <c r="K12" s="54"/>
      <c r="L12" s="55"/>
      <c r="M12" s="56"/>
      <c r="N12" s="57" t="str">
        <f aca="false">IF(M12="","",M12-H12)</f>
        <v/>
      </c>
      <c r="O12" s="58" t="str">
        <f aca="false">IF(M12="","",ABS(M12-H12)*24)</f>
        <v/>
      </c>
      <c r="P12" s="11"/>
      <c r="Q12" s="67" t="s">
        <v>97</v>
      </c>
      <c r="R12" s="67" t="s">
        <v>66</v>
      </c>
      <c r="S12" s="67" t="s">
        <v>98</v>
      </c>
    </row>
    <row r="13" customFormat="false" ht="36" hidden="false" customHeight="true" outlineLevel="0" collapsed="false">
      <c r="A13" s="23" t="n">
        <v>8</v>
      </c>
      <c r="B13" s="60" t="s">
        <v>60</v>
      </c>
      <c r="C13" s="23" t="s">
        <v>99</v>
      </c>
      <c r="D13" s="61" t="s">
        <v>100</v>
      </c>
      <c r="E13" s="62" t="s">
        <v>101</v>
      </c>
      <c r="F13" s="23" t="s">
        <v>64</v>
      </c>
      <c r="G13" s="26" t="e">
        <f aca="false">ROUND(1*$H$3,0)</f>
        <v>#VALUE!</v>
      </c>
      <c r="H13" s="25" t="e">
        <f aca="false">$C$3+G13</f>
        <v>#VALUE!</v>
      </c>
      <c r="I13" s="52"/>
      <c r="J13" s="53" t="n">
        <f aca="false">IF(I13="Complete",1,IF(I13="Skipped",1,IF(I13="Blocked",0.5,IF(I13="In Progress",0.25,0))))</f>
        <v>0</v>
      </c>
      <c r="K13" s="54"/>
      <c r="L13" s="55"/>
      <c r="M13" s="56"/>
      <c r="N13" s="57" t="str">
        <f aca="false">IF(M13="","",M13-H13)</f>
        <v/>
      </c>
      <c r="O13" s="58" t="str">
        <f aca="false">IF(M13="","",ABS(M13-H13)*24)</f>
        <v/>
      </c>
      <c r="P13" s="23"/>
      <c r="Q13" s="63" t="s">
        <v>102</v>
      </c>
      <c r="R13" s="63" t="s">
        <v>103</v>
      </c>
      <c r="S13" s="63" t="s">
        <v>104</v>
      </c>
    </row>
    <row r="14" customFormat="false" ht="36" hidden="false" customHeight="true" outlineLevel="0" collapsed="false">
      <c r="A14" s="11" t="n">
        <v>9</v>
      </c>
      <c r="B14" s="64" t="s">
        <v>60</v>
      </c>
      <c r="C14" s="11" t="s">
        <v>105</v>
      </c>
      <c r="D14" s="65" t="s">
        <v>106</v>
      </c>
      <c r="E14" s="66" t="s">
        <v>107</v>
      </c>
      <c r="F14" s="11" t="s">
        <v>64</v>
      </c>
      <c r="G14" s="17" t="e">
        <f aca="false">ROUND(2*$H$3,0)</f>
        <v>#VALUE!</v>
      </c>
      <c r="H14" s="16" t="e">
        <f aca="false">$C$3+G14</f>
        <v>#VALUE!</v>
      </c>
      <c r="I14" s="52"/>
      <c r="J14" s="53" t="n">
        <f aca="false">IF(I14="Complete",1,IF(I14="Skipped",1,IF(I14="Blocked",0.5,IF(I14="In Progress",0.25,0))))</f>
        <v>0</v>
      </c>
      <c r="K14" s="54"/>
      <c r="L14" s="55"/>
      <c r="M14" s="56"/>
      <c r="N14" s="57" t="str">
        <f aca="false">IF(M14="","",M14-H14)</f>
        <v/>
      </c>
      <c r="O14" s="58" t="str">
        <f aca="false">IF(M14="","",ABS(M14-H14)*24)</f>
        <v/>
      </c>
      <c r="P14" s="11"/>
      <c r="Q14" s="67" t="s">
        <v>108</v>
      </c>
      <c r="R14" s="67" t="s">
        <v>109</v>
      </c>
      <c r="S14" s="67" t="s">
        <v>110</v>
      </c>
    </row>
    <row r="15" customFormat="false" ht="36" hidden="false" customHeight="true" outlineLevel="0" collapsed="false">
      <c r="A15" s="23" t="n">
        <v>10</v>
      </c>
      <c r="B15" s="60" t="s">
        <v>60</v>
      </c>
      <c r="C15" s="23" t="s">
        <v>111</v>
      </c>
      <c r="D15" s="61" t="s">
        <v>112</v>
      </c>
      <c r="E15" s="62" t="s">
        <v>113</v>
      </c>
      <c r="F15" s="23" t="s">
        <v>114</v>
      </c>
      <c r="G15" s="26" t="e">
        <f aca="false">ROUND(2*$H$3,0)</f>
        <v>#VALUE!</v>
      </c>
      <c r="H15" s="25" t="e">
        <f aca="false">$C$3+G15</f>
        <v>#VALUE!</v>
      </c>
      <c r="I15" s="52"/>
      <c r="J15" s="53" t="n">
        <f aca="false">IF(I15="Complete",1,IF(I15="Skipped",1,IF(I15="Blocked",0.5,IF(I15="In Progress",0.25,0))))</f>
        <v>0</v>
      </c>
      <c r="K15" s="54"/>
      <c r="L15" s="55"/>
      <c r="M15" s="56"/>
      <c r="N15" s="57" t="str">
        <f aca="false">IF(M15="","",M15-H15)</f>
        <v/>
      </c>
      <c r="O15" s="58" t="str">
        <f aca="false">IF(M15="","",ABS(M15-H15)*24)</f>
        <v/>
      </c>
      <c r="P15" s="23"/>
      <c r="Q15" s="63" t="s">
        <v>115</v>
      </c>
      <c r="R15" s="63" t="s">
        <v>116</v>
      </c>
      <c r="S15" s="63" t="s">
        <v>117</v>
      </c>
    </row>
    <row r="16" customFormat="false" ht="36" hidden="false" customHeight="true" outlineLevel="0" collapsed="false">
      <c r="A16" s="46" t="n">
        <v>11</v>
      </c>
      <c r="B16" s="47" t="s">
        <v>118</v>
      </c>
      <c r="C16" s="46" t="s">
        <v>119</v>
      </c>
      <c r="D16" s="48" t="s">
        <v>120</v>
      </c>
      <c r="E16" s="49" t="s">
        <v>121</v>
      </c>
      <c r="F16" s="46" t="s">
        <v>64</v>
      </c>
      <c r="G16" s="50" t="e">
        <f aca="false">ROUND(3*$H$3,0)</f>
        <v>#VALUE!</v>
      </c>
      <c r="H16" s="51" t="e">
        <f aca="false">$C$3+G16</f>
        <v>#VALUE!</v>
      </c>
      <c r="I16" s="52"/>
      <c r="J16" s="53" t="n">
        <f aca="false">IF(I16="Complete",1,IF(I16="Skipped",1,IF(I16="Blocked",0.5,IF(I16="In Progress",0.25,0))))</f>
        <v>0</v>
      </c>
      <c r="K16" s="54"/>
      <c r="L16" s="55"/>
      <c r="M16" s="56"/>
      <c r="N16" s="57" t="str">
        <f aca="false">IF(M16="","",M16-H16)</f>
        <v/>
      </c>
      <c r="O16" s="58" t="str">
        <f aca="false">IF(M16="","",ABS(M16-H16)*24)</f>
        <v/>
      </c>
      <c r="P16" s="46"/>
      <c r="Q16" s="59" t="s">
        <v>122</v>
      </c>
      <c r="R16" s="59" t="s">
        <v>123</v>
      </c>
      <c r="S16" s="59" t="s">
        <v>124</v>
      </c>
    </row>
    <row r="17" customFormat="false" ht="36" hidden="false" customHeight="true" outlineLevel="0" collapsed="false">
      <c r="A17" s="23" t="n">
        <v>12</v>
      </c>
      <c r="B17" s="60" t="s">
        <v>118</v>
      </c>
      <c r="C17" s="23" t="s">
        <v>125</v>
      </c>
      <c r="D17" s="61" t="s">
        <v>126</v>
      </c>
      <c r="E17" s="62" t="s">
        <v>127</v>
      </c>
      <c r="F17" s="23" t="s">
        <v>64</v>
      </c>
      <c r="G17" s="26" t="e">
        <f aca="false">ROUND(3*$H$3,0)</f>
        <v>#VALUE!</v>
      </c>
      <c r="H17" s="25" t="e">
        <f aca="false">$C$3+G17</f>
        <v>#VALUE!</v>
      </c>
      <c r="I17" s="52"/>
      <c r="J17" s="53" t="n">
        <f aca="false">IF(I17="Complete",1,IF(I17="Skipped",1,IF(I17="Blocked",0.5,IF(I17="In Progress",0.25,0))))</f>
        <v>0</v>
      </c>
      <c r="K17" s="54"/>
      <c r="L17" s="55"/>
      <c r="M17" s="56"/>
      <c r="N17" s="57" t="str">
        <f aca="false">IF(M17="","",M17-H17)</f>
        <v/>
      </c>
      <c r="O17" s="58" t="str">
        <f aca="false">IF(M17="","",ABS(M17-H17)*24)</f>
        <v/>
      </c>
      <c r="P17" s="23"/>
      <c r="Q17" s="63" t="s">
        <v>128</v>
      </c>
      <c r="R17" s="63" t="s">
        <v>129</v>
      </c>
      <c r="S17" s="63" t="s">
        <v>130</v>
      </c>
    </row>
    <row r="18" customFormat="false" ht="36" hidden="false" customHeight="true" outlineLevel="0" collapsed="false">
      <c r="A18" s="11" t="n">
        <v>13</v>
      </c>
      <c r="B18" s="64" t="s">
        <v>118</v>
      </c>
      <c r="C18" s="11" t="s">
        <v>131</v>
      </c>
      <c r="D18" s="65" t="s">
        <v>132</v>
      </c>
      <c r="E18" s="66" t="s">
        <v>133</v>
      </c>
      <c r="F18" s="11" t="s">
        <v>64</v>
      </c>
      <c r="G18" s="17" t="e">
        <f aca="false">ROUND(3*$H$3,0)</f>
        <v>#VALUE!</v>
      </c>
      <c r="H18" s="16" t="e">
        <f aca="false">$C$3+G18</f>
        <v>#VALUE!</v>
      </c>
      <c r="I18" s="52"/>
      <c r="J18" s="53" t="n">
        <f aca="false">IF(I18="Complete",1,IF(I18="Skipped",1,IF(I18="Blocked",0.5,IF(I18="In Progress",0.25,0))))</f>
        <v>0</v>
      </c>
      <c r="K18" s="54"/>
      <c r="L18" s="55"/>
      <c r="M18" s="56"/>
      <c r="N18" s="57" t="str">
        <f aca="false">IF(M18="","",M18-H18)</f>
        <v/>
      </c>
      <c r="O18" s="58" t="str">
        <f aca="false">IF(M18="","",ABS(M18-H18)*24)</f>
        <v/>
      </c>
      <c r="P18" s="11"/>
      <c r="Q18" s="67" t="s">
        <v>134</v>
      </c>
      <c r="R18" s="67" t="s">
        <v>135</v>
      </c>
      <c r="S18" s="67" t="s">
        <v>136</v>
      </c>
    </row>
    <row r="19" customFormat="false" ht="36" hidden="false" customHeight="true" outlineLevel="0" collapsed="false">
      <c r="A19" s="23" t="n">
        <v>14</v>
      </c>
      <c r="B19" s="60" t="s">
        <v>118</v>
      </c>
      <c r="C19" s="23" t="s">
        <v>137</v>
      </c>
      <c r="D19" s="61" t="s">
        <v>138</v>
      </c>
      <c r="E19" s="62" t="s">
        <v>139</v>
      </c>
      <c r="F19" s="23" t="s">
        <v>64</v>
      </c>
      <c r="G19" s="26" t="e">
        <f aca="false">ROUND(3*$H$3,0)</f>
        <v>#VALUE!</v>
      </c>
      <c r="H19" s="25" t="e">
        <f aca="false">$C$3+G19</f>
        <v>#VALUE!</v>
      </c>
      <c r="I19" s="52"/>
      <c r="J19" s="53" t="n">
        <f aca="false">IF(I19="Complete",1,IF(I19="Skipped",1,IF(I19="Blocked",0.5,IF(I19="In Progress",0.25,0))))</f>
        <v>0</v>
      </c>
      <c r="K19" s="54"/>
      <c r="L19" s="55"/>
      <c r="M19" s="56"/>
      <c r="N19" s="57" t="str">
        <f aca="false">IF(M19="","",M19-H19)</f>
        <v/>
      </c>
      <c r="O19" s="58" t="str">
        <f aca="false">IF(M19="","",ABS(M19-H19)*24)</f>
        <v/>
      </c>
      <c r="P19" s="23"/>
      <c r="Q19" s="63" t="s">
        <v>140</v>
      </c>
      <c r="R19" s="63" t="s">
        <v>141</v>
      </c>
      <c r="S19" s="63" t="s">
        <v>142</v>
      </c>
    </row>
    <row r="20" customFormat="false" ht="36" hidden="false" customHeight="true" outlineLevel="0" collapsed="false">
      <c r="A20" s="11" t="n">
        <v>15</v>
      </c>
      <c r="B20" s="64" t="s">
        <v>118</v>
      </c>
      <c r="C20" s="11" t="s">
        <v>143</v>
      </c>
      <c r="D20" s="65" t="s">
        <v>144</v>
      </c>
      <c r="E20" s="66" t="s">
        <v>145</v>
      </c>
      <c r="F20" s="11" t="s">
        <v>64</v>
      </c>
      <c r="G20" s="17" t="e">
        <f aca="false">ROUND(3*$H$3,0)</f>
        <v>#VALUE!</v>
      </c>
      <c r="H20" s="16" t="e">
        <f aca="false">$C$3+G20</f>
        <v>#VALUE!</v>
      </c>
      <c r="I20" s="52"/>
      <c r="J20" s="53" t="n">
        <f aca="false">IF(I20="Complete",1,IF(I20="Skipped",1,IF(I20="Blocked",0.5,IF(I20="In Progress",0.25,0))))</f>
        <v>0</v>
      </c>
      <c r="K20" s="54"/>
      <c r="L20" s="55"/>
      <c r="M20" s="56"/>
      <c r="N20" s="57" t="str">
        <f aca="false">IF(M20="","",M20-H20)</f>
        <v/>
      </c>
      <c r="O20" s="58" t="str">
        <f aca="false">IF(M20="","",ABS(M20-H20)*24)</f>
        <v/>
      </c>
      <c r="P20" s="11"/>
      <c r="Q20" s="67" t="s">
        <v>146</v>
      </c>
      <c r="R20" s="67" t="s">
        <v>147</v>
      </c>
      <c r="S20" s="67" t="s">
        <v>148</v>
      </c>
    </row>
    <row r="21" customFormat="false" ht="36" hidden="false" customHeight="true" outlineLevel="0" collapsed="false">
      <c r="A21" s="23" t="n">
        <v>16</v>
      </c>
      <c r="B21" s="60" t="s">
        <v>118</v>
      </c>
      <c r="C21" s="23" t="s">
        <v>149</v>
      </c>
      <c r="D21" s="61" t="s">
        <v>150</v>
      </c>
      <c r="E21" s="62" t="s">
        <v>151</v>
      </c>
      <c r="F21" s="23" t="s">
        <v>152</v>
      </c>
      <c r="G21" s="26" t="e">
        <f aca="false">ROUND(3*$H$3,0)</f>
        <v>#VALUE!</v>
      </c>
      <c r="H21" s="25" t="e">
        <f aca="false">$C$3+G21</f>
        <v>#VALUE!</v>
      </c>
      <c r="I21" s="52"/>
      <c r="J21" s="53" t="n">
        <f aca="false">IF(I21="Complete",1,IF(I21="Skipped",1,IF(I21="Blocked",0.5,IF(I21="In Progress",0.25,0))))</f>
        <v>0</v>
      </c>
      <c r="K21" s="54"/>
      <c r="L21" s="55"/>
      <c r="M21" s="56"/>
      <c r="N21" s="57" t="str">
        <f aca="false">IF(M21="","",M21-H21)</f>
        <v/>
      </c>
      <c r="O21" s="58" t="str">
        <f aca="false">IF(M21="","",ABS(M21-H21)*24)</f>
        <v/>
      </c>
      <c r="P21" s="23"/>
      <c r="Q21" s="63" t="s">
        <v>153</v>
      </c>
      <c r="R21" s="63" t="s">
        <v>154</v>
      </c>
      <c r="S21" s="63" t="s">
        <v>155</v>
      </c>
    </row>
    <row r="22" customFormat="false" ht="36" hidden="false" customHeight="true" outlineLevel="0" collapsed="false">
      <c r="A22" s="46" t="n">
        <v>17</v>
      </c>
      <c r="B22" s="47" t="s">
        <v>156</v>
      </c>
      <c r="C22" s="46" t="s">
        <v>157</v>
      </c>
      <c r="D22" s="48" t="s">
        <v>158</v>
      </c>
      <c r="E22" s="49" t="s">
        <v>159</v>
      </c>
      <c r="F22" s="46" t="s">
        <v>64</v>
      </c>
      <c r="G22" s="50" t="e">
        <f aca="false">ROUND(4*$H$3,0)</f>
        <v>#VALUE!</v>
      </c>
      <c r="H22" s="51" t="e">
        <f aca="false">$C$3+G22</f>
        <v>#VALUE!</v>
      </c>
      <c r="I22" s="52"/>
      <c r="J22" s="53" t="n">
        <f aca="false">IF(I22="Complete",1,IF(I22="Skipped",1,IF(I22="Blocked",0.5,IF(I22="In Progress",0.25,0))))</f>
        <v>0</v>
      </c>
      <c r="K22" s="54"/>
      <c r="L22" s="55"/>
      <c r="M22" s="56"/>
      <c r="N22" s="57" t="str">
        <f aca="false">IF(M22="","",M22-H22)</f>
        <v/>
      </c>
      <c r="O22" s="58" t="str">
        <f aca="false">IF(M22="","",ABS(M22-H22)*24)</f>
        <v/>
      </c>
      <c r="P22" s="46"/>
      <c r="Q22" s="59" t="s">
        <v>160</v>
      </c>
      <c r="R22" s="59" t="s">
        <v>161</v>
      </c>
      <c r="S22" s="59" t="s">
        <v>162</v>
      </c>
    </row>
    <row r="23" customFormat="false" ht="36" hidden="false" customHeight="true" outlineLevel="0" collapsed="false">
      <c r="A23" s="23" t="n">
        <v>18</v>
      </c>
      <c r="B23" s="60" t="s">
        <v>156</v>
      </c>
      <c r="C23" s="23" t="s">
        <v>163</v>
      </c>
      <c r="D23" s="61" t="s">
        <v>164</v>
      </c>
      <c r="E23" s="62" t="s">
        <v>165</v>
      </c>
      <c r="F23" s="23" t="s">
        <v>64</v>
      </c>
      <c r="G23" s="26" t="e">
        <f aca="false">ROUND(4*$H$3,0)</f>
        <v>#VALUE!</v>
      </c>
      <c r="H23" s="25" t="e">
        <f aca="false">$C$3+G23</f>
        <v>#VALUE!</v>
      </c>
      <c r="I23" s="52"/>
      <c r="J23" s="53" t="n">
        <f aca="false">IF(I23="Complete",1,IF(I23="Skipped",1,IF(I23="Blocked",0.5,IF(I23="In Progress",0.25,0))))</f>
        <v>0</v>
      </c>
      <c r="K23" s="54"/>
      <c r="L23" s="55"/>
      <c r="M23" s="56"/>
      <c r="N23" s="57" t="str">
        <f aca="false">IF(M23="","",M23-H23)</f>
        <v/>
      </c>
      <c r="O23" s="58" t="str">
        <f aca="false">IF(M23="","",ABS(M23-H23)*24)</f>
        <v/>
      </c>
      <c r="P23" s="23"/>
      <c r="Q23" s="63" t="s">
        <v>166</v>
      </c>
      <c r="R23" s="63" t="s">
        <v>167</v>
      </c>
      <c r="S23" s="63"/>
    </row>
    <row r="24" customFormat="false" ht="36" hidden="false" customHeight="true" outlineLevel="0" collapsed="false">
      <c r="A24" s="11" t="n">
        <v>19</v>
      </c>
      <c r="B24" s="64" t="s">
        <v>156</v>
      </c>
      <c r="C24" s="11" t="s">
        <v>168</v>
      </c>
      <c r="D24" s="65" t="s">
        <v>169</v>
      </c>
      <c r="E24" s="66" t="s">
        <v>170</v>
      </c>
      <c r="F24" s="11" t="s">
        <v>64</v>
      </c>
      <c r="G24" s="17" t="e">
        <f aca="false">ROUND(4*$H$3,0)</f>
        <v>#VALUE!</v>
      </c>
      <c r="H24" s="16" t="e">
        <f aca="false">$C$3+G24</f>
        <v>#VALUE!</v>
      </c>
      <c r="I24" s="52"/>
      <c r="J24" s="53" t="n">
        <f aca="false">IF(I24="Complete",1,IF(I24="Skipped",1,IF(I24="Blocked",0.5,IF(I24="In Progress",0.25,0))))</f>
        <v>0</v>
      </c>
      <c r="K24" s="54"/>
      <c r="L24" s="55"/>
      <c r="M24" s="56"/>
      <c r="N24" s="57" t="str">
        <f aca="false">IF(M24="","",M24-H24)</f>
        <v/>
      </c>
      <c r="O24" s="58" t="str">
        <f aca="false">IF(M24="","",ABS(M24-H24)*24)</f>
        <v/>
      </c>
      <c r="P24" s="11"/>
      <c r="Q24" s="67" t="s">
        <v>171</v>
      </c>
      <c r="R24" s="67" t="s">
        <v>172</v>
      </c>
      <c r="S24" s="67" t="s">
        <v>173</v>
      </c>
    </row>
    <row r="25" customFormat="false" ht="36" hidden="false" customHeight="true" outlineLevel="0" collapsed="false">
      <c r="A25" s="23" t="n">
        <v>20</v>
      </c>
      <c r="B25" s="60" t="s">
        <v>156</v>
      </c>
      <c r="C25" s="23" t="s">
        <v>174</v>
      </c>
      <c r="D25" s="61" t="s">
        <v>175</v>
      </c>
      <c r="E25" s="62" t="s">
        <v>176</v>
      </c>
      <c r="F25" s="23" t="s">
        <v>64</v>
      </c>
      <c r="G25" s="26" t="e">
        <f aca="false">ROUND(4*$H$3,0)</f>
        <v>#VALUE!</v>
      </c>
      <c r="H25" s="25" t="e">
        <f aca="false">$C$3+G25</f>
        <v>#VALUE!</v>
      </c>
      <c r="I25" s="52"/>
      <c r="J25" s="53" t="n">
        <f aca="false">IF(I25="Complete",1,IF(I25="Skipped",1,IF(I25="Blocked",0.5,IF(I25="In Progress",0.25,0))))</f>
        <v>0</v>
      </c>
      <c r="K25" s="54"/>
      <c r="L25" s="55"/>
      <c r="M25" s="56"/>
      <c r="N25" s="57" t="str">
        <f aca="false">IF(M25="","",M25-H25)</f>
        <v/>
      </c>
      <c r="O25" s="58" t="str">
        <f aca="false">IF(M25="","",ABS(M25-H25)*24)</f>
        <v/>
      </c>
      <c r="P25" s="23"/>
      <c r="Q25" s="63" t="s">
        <v>177</v>
      </c>
      <c r="R25" s="63" t="s">
        <v>178</v>
      </c>
      <c r="S25" s="63" t="s">
        <v>179</v>
      </c>
    </row>
    <row r="26" customFormat="false" ht="36" hidden="false" customHeight="true" outlineLevel="0" collapsed="false">
      <c r="A26" s="11" t="n">
        <v>21</v>
      </c>
      <c r="B26" s="64" t="s">
        <v>156</v>
      </c>
      <c r="C26" s="11" t="s">
        <v>180</v>
      </c>
      <c r="D26" s="65" t="s">
        <v>181</v>
      </c>
      <c r="E26" s="66" t="s">
        <v>182</v>
      </c>
      <c r="F26" s="11" t="s">
        <v>64</v>
      </c>
      <c r="G26" s="17" t="e">
        <f aca="false">ROUND(4*$H$3,0)</f>
        <v>#VALUE!</v>
      </c>
      <c r="H26" s="16" t="e">
        <f aca="false">$C$3+G26</f>
        <v>#VALUE!</v>
      </c>
      <c r="I26" s="52"/>
      <c r="J26" s="53" t="n">
        <f aca="false">IF(I26="Complete",1,IF(I26="Skipped",1,IF(I26="Blocked",0.5,IF(I26="In Progress",0.25,0))))</f>
        <v>0</v>
      </c>
      <c r="K26" s="54"/>
      <c r="L26" s="55"/>
      <c r="M26" s="56"/>
      <c r="N26" s="57" t="str">
        <f aca="false">IF(M26="","",M26-H26)</f>
        <v/>
      </c>
      <c r="O26" s="58" t="str">
        <f aca="false">IF(M26="","",ABS(M26-H26)*24)</f>
        <v/>
      </c>
      <c r="P26" s="11"/>
      <c r="Q26" s="67" t="s">
        <v>183</v>
      </c>
      <c r="R26" s="67" t="s">
        <v>184</v>
      </c>
      <c r="S26" s="67" t="s">
        <v>185</v>
      </c>
    </row>
    <row r="27" customFormat="false" ht="36" hidden="false" customHeight="true" outlineLevel="0" collapsed="false">
      <c r="A27" s="23" t="n">
        <v>22</v>
      </c>
      <c r="B27" s="60" t="s">
        <v>156</v>
      </c>
      <c r="C27" s="23" t="s">
        <v>186</v>
      </c>
      <c r="D27" s="61" t="s">
        <v>187</v>
      </c>
      <c r="E27" s="62" t="s">
        <v>188</v>
      </c>
      <c r="F27" s="23" t="s">
        <v>64</v>
      </c>
      <c r="G27" s="26" t="e">
        <f aca="false">ROUND(4*$H$3,0)</f>
        <v>#VALUE!</v>
      </c>
      <c r="H27" s="25" t="e">
        <f aca="false">$C$3+G27</f>
        <v>#VALUE!</v>
      </c>
      <c r="I27" s="52"/>
      <c r="J27" s="53" t="n">
        <f aca="false">IF(I27="Complete",1,IF(I27="Skipped",1,IF(I27="Blocked",0.5,IF(I27="In Progress",0.25,0))))</f>
        <v>0</v>
      </c>
      <c r="K27" s="54"/>
      <c r="L27" s="55"/>
      <c r="M27" s="56"/>
      <c r="N27" s="57" t="str">
        <f aca="false">IF(M27="","",M27-H27)</f>
        <v/>
      </c>
      <c r="O27" s="58" t="str">
        <f aca="false">IF(M27="","",ABS(M27-H27)*24)</f>
        <v/>
      </c>
      <c r="P27" s="23"/>
      <c r="Q27" s="63" t="s">
        <v>189</v>
      </c>
      <c r="R27" s="63" t="s">
        <v>190</v>
      </c>
      <c r="S27" s="63" t="s">
        <v>191</v>
      </c>
    </row>
    <row r="28" customFormat="false" ht="36" hidden="false" customHeight="true" outlineLevel="0" collapsed="false">
      <c r="A28" s="11" t="n">
        <v>23</v>
      </c>
      <c r="B28" s="64" t="s">
        <v>156</v>
      </c>
      <c r="C28" s="11" t="s">
        <v>192</v>
      </c>
      <c r="D28" s="65" t="s">
        <v>193</v>
      </c>
      <c r="E28" s="66" t="s">
        <v>194</v>
      </c>
      <c r="F28" s="11" t="s">
        <v>64</v>
      </c>
      <c r="G28" s="17" t="e">
        <f aca="false">ROUND(5*$H$3,0)</f>
        <v>#VALUE!</v>
      </c>
      <c r="H28" s="16" t="e">
        <f aca="false">$C$3+G28</f>
        <v>#VALUE!</v>
      </c>
      <c r="I28" s="52"/>
      <c r="J28" s="53" t="n">
        <f aca="false">IF(I28="Complete",1,IF(I28="Skipped",1,IF(I28="Blocked",0.5,IF(I28="In Progress",0.25,0))))</f>
        <v>0</v>
      </c>
      <c r="K28" s="54"/>
      <c r="L28" s="55"/>
      <c r="M28" s="56"/>
      <c r="N28" s="57" t="str">
        <f aca="false">IF(M28="","",M28-H28)</f>
        <v/>
      </c>
      <c r="O28" s="58" t="str">
        <f aca="false">IF(M28="","",ABS(M28-H28)*24)</f>
        <v/>
      </c>
      <c r="P28" s="11"/>
      <c r="Q28" s="67" t="s">
        <v>195</v>
      </c>
      <c r="R28" s="67" t="s">
        <v>196</v>
      </c>
      <c r="S28" s="67" t="s">
        <v>197</v>
      </c>
    </row>
    <row r="29" customFormat="false" ht="36" hidden="false" customHeight="true" outlineLevel="0" collapsed="false">
      <c r="A29" s="23" t="n">
        <v>24</v>
      </c>
      <c r="B29" s="60" t="s">
        <v>156</v>
      </c>
      <c r="C29" s="23" t="s">
        <v>198</v>
      </c>
      <c r="D29" s="61" t="s">
        <v>199</v>
      </c>
      <c r="E29" s="62" t="s">
        <v>200</v>
      </c>
      <c r="F29" s="23" t="s">
        <v>64</v>
      </c>
      <c r="G29" s="26" t="e">
        <f aca="false">ROUND(5*$H$3,0)</f>
        <v>#VALUE!</v>
      </c>
      <c r="H29" s="25" t="e">
        <f aca="false">$C$3+G29</f>
        <v>#VALUE!</v>
      </c>
      <c r="I29" s="52"/>
      <c r="J29" s="53" t="n">
        <f aca="false">IF(I29="Complete",1,IF(I29="Skipped",1,IF(I29="Blocked",0.5,IF(I29="In Progress",0.25,0))))</f>
        <v>0</v>
      </c>
      <c r="K29" s="54"/>
      <c r="L29" s="55"/>
      <c r="M29" s="56"/>
      <c r="N29" s="57" t="str">
        <f aca="false">IF(M29="","",M29-H29)</f>
        <v/>
      </c>
      <c r="O29" s="58" t="str">
        <f aca="false">IF(M29="","",ABS(M29-H29)*24)</f>
        <v/>
      </c>
      <c r="P29" s="23"/>
      <c r="Q29" s="63" t="s">
        <v>201</v>
      </c>
      <c r="R29" s="63" t="s">
        <v>202</v>
      </c>
      <c r="S29" s="63" t="s">
        <v>203</v>
      </c>
    </row>
    <row r="30" customFormat="false" ht="36" hidden="false" customHeight="true" outlineLevel="0" collapsed="false">
      <c r="A30" s="11" t="n">
        <v>25</v>
      </c>
      <c r="B30" s="64" t="s">
        <v>156</v>
      </c>
      <c r="C30" s="11" t="s">
        <v>204</v>
      </c>
      <c r="D30" s="65" t="s">
        <v>205</v>
      </c>
      <c r="E30" s="66" t="s">
        <v>206</v>
      </c>
      <c r="F30" s="11" t="s">
        <v>64</v>
      </c>
      <c r="G30" s="17" t="e">
        <f aca="false">ROUND(5*$H$3,0)</f>
        <v>#VALUE!</v>
      </c>
      <c r="H30" s="16" t="e">
        <f aca="false">$C$3+G30</f>
        <v>#VALUE!</v>
      </c>
      <c r="I30" s="52"/>
      <c r="J30" s="53" t="n">
        <f aca="false">IF(I30="Complete",1,IF(I30="Skipped",1,IF(I30="Blocked",0.5,IF(I30="In Progress",0.25,0))))</f>
        <v>0</v>
      </c>
      <c r="K30" s="54"/>
      <c r="L30" s="55"/>
      <c r="M30" s="56"/>
      <c r="N30" s="57" t="str">
        <f aca="false">IF(M30="","",M30-H30)</f>
        <v/>
      </c>
      <c r="O30" s="58" t="str">
        <f aca="false">IF(M30="","",ABS(M30-H30)*24)</f>
        <v/>
      </c>
      <c r="P30" s="11"/>
      <c r="Q30" s="67" t="s">
        <v>207</v>
      </c>
      <c r="R30" s="67" t="s">
        <v>208</v>
      </c>
      <c r="S30" s="67" t="s">
        <v>209</v>
      </c>
    </row>
    <row r="31" customFormat="false" ht="36" hidden="false" customHeight="true" outlineLevel="0" collapsed="false">
      <c r="A31" s="46" t="n">
        <v>26</v>
      </c>
      <c r="B31" s="47" t="s">
        <v>210</v>
      </c>
      <c r="C31" s="46" t="s">
        <v>211</v>
      </c>
      <c r="D31" s="48" t="s">
        <v>212</v>
      </c>
      <c r="E31" s="49" t="s">
        <v>213</v>
      </c>
      <c r="F31" s="46" t="s">
        <v>214</v>
      </c>
      <c r="G31" s="50" t="e">
        <f aca="false">ROUND(6*$H$3,0)</f>
        <v>#VALUE!</v>
      </c>
      <c r="H31" s="51" t="e">
        <f aca="false">$C$3+G31</f>
        <v>#VALUE!</v>
      </c>
      <c r="I31" s="52"/>
      <c r="J31" s="53" t="n">
        <f aca="false">IF(I31="Complete",1,IF(I31="Skipped",1,IF(I31="Blocked",0.5,IF(I31="In Progress",0.25,0))))</f>
        <v>0</v>
      </c>
      <c r="K31" s="54"/>
      <c r="L31" s="55"/>
      <c r="M31" s="56"/>
      <c r="N31" s="57" t="str">
        <f aca="false">IF(M31="","",M31-H31)</f>
        <v/>
      </c>
      <c r="O31" s="58" t="str">
        <f aca="false">IF(M31="","",ABS(M31-H31)*24)</f>
        <v/>
      </c>
      <c r="P31" s="46"/>
      <c r="Q31" s="59" t="s">
        <v>215</v>
      </c>
      <c r="R31" s="59" t="s">
        <v>216</v>
      </c>
      <c r="S31" s="59" t="s">
        <v>217</v>
      </c>
    </row>
    <row r="32" customFormat="false" ht="36" hidden="false" customHeight="true" outlineLevel="0" collapsed="false">
      <c r="A32" s="11" t="n">
        <v>27</v>
      </c>
      <c r="B32" s="64" t="s">
        <v>210</v>
      </c>
      <c r="C32" s="11" t="s">
        <v>218</v>
      </c>
      <c r="D32" s="65" t="s">
        <v>219</v>
      </c>
      <c r="E32" s="66" t="s">
        <v>220</v>
      </c>
      <c r="F32" s="11" t="s">
        <v>214</v>
      </c>
      <c r="G32" s="17" t="e">
        <f aca="false">ROUND(6*$H$3,0)</f>
        <v>#VALUE!</v>
      </c>
      <c r="H32" s="16" t="e">
        <f aca="false">$C$3+G32</f>
        <v>#VALUE!</v>
      </c>
      <c r="I32" s="52"/>
      <c r="J32" s="53" t="n">
        <f aca="false">IF(I32="Complete",1,IF(I32="Skipped",1,IF(I32="Blocked",0.5,IF(I32="In Progress",0.25,0))))</f>
        <v>0</v>
      </c>
      <c r="K32" s="54"/>
      <c r="L32" s="55"/>
      <c r="M32" s="56"/>
      <c r="N32" s="57" t="str">
        <f aca="false">IF(M32="","",M32-H32)</f>
        <v/>
      </c>
      <c r="O32" s="58" t="str">
        <f aca="false">IF(M32="","",ABS(M32-H32)*24)</f>
        <v/>
      </c>
      <c r="P32" s="11"/>
      <c r="Q32" s="67" t="s">
        <v>221</v>
      </c>
      <c r="R32" s="67" t="s">
        <v>222</v>
      </c>
      <c r="S32" s="67" t="s">
        <v>223</v>
      </c>
    </row>
    <row r="33" customFormat="false" ht="36" hidden="false" customHeight="true" outlineLevel="0" collapsed="false">
      <c r="A33" s="23" t="n">
        <v>28</v>
      </c>
      <c r="B33" s="60" t="s">
        <v>210</v>
      </c>
      <c r="C33" s="23" t="s">
        <v>224</v>
      </c>
      <c r="D33" s="61" t="s">
        <v>225</v>
      </c>
      <c r="E33" s="62" t="s">
        <v>226</v>
      </c>
      <c r="F33" s="23" t="s">
        <v>64</v>
      </c>
      <c r="G33" s="26" t="e">
        <f aca="false">ROUND(7*$H$3,0)</f>
        <v>#VALUE!</v>
      </c>
      <c r="H33" s="25" t="e">
        <f aca="false">$C$3+G33</f>
        <v>#VALUE!</v>
      </c>
      <c r="I33" s="52"/>
      <c r="J33" s="53" t="n">
        <f aca="false">IF(I33="Complete",1,IF(I33="Skipped",1,IF(I33="Blocked",0.5,IF(I33="In Progress",0.25,0))))</f>
        <v>0</v>
      </c>
      <c r="K33" s="54"/>
      <c r="L33" s="55"/>
      <c r="M33" s="56"/>
      <c r="N33" s="57" t="str">
        <f aca="false">IF(M33="","",M33-H33)</f>
        <v/>
      </c>
      <c r="O33" s="58" t="str">
        <f aca="false">IF(M33="","",ABS(M33-H33)*24)</f>
        <v/>
      </c>
      <c r="P33" s="23"/>
      <c r="Q33" s="63" t="s">
        <v>227</v>
      </c>
      <c r="R33" s="63" t="s">
        <v>228</v>
      </c>
      <c r="S33" s="63" t="s">
        <v>229</v>
      </c>
    </row>
    <row r="34" customFormat="false" ht="36" hidden="false" customHeight="true" outlineLevel="0" collapsed="false">
      <c r="A34" s="11" t="n">
        <v>29</v>
      </c>
      <c r="B34" s="64" t="s">
        <v>210</v>
      </c>
      <c r="C34" s="11" t="s">
        <v>230</v>
      </c>
      <c r="D34" s="65" t="s">
        <v>231</v>
      </c>
      <c r="E34" s="66" t="s">
        <v>232</v>
      </c>
      <c r="F34" s="11" t="s">
        <v>214</v>
      </c>
      <c r="G34" s="17" t="e">
        <f aca="false">ROUND(8*$H$3,0)</f>
        <v>#VALUE!</v>
      </c>
      <c r="H34" s="16" t="e">
        <f aca="false">$C$3+G34</f>
        <v>#VALUE!</v>
      </c>
      <c r="I34" s="52"/>
      <c r="J34" s="53" t="n">
        <f aca="false">IF(I34="Complete",1,IF(I34="Skipped",1,IF(I34="Blocked",0.5,IF(I34="In Progress",0.25,0))))</f>
        <v>0</v>
      </c>
      <c r="K34" s="54"/>
      <c r="L34" s="55"/>
      <c r="M34" s="56"/>
      <c r="N34" s="57" t="str">
        <f aca="false">IF(M34="","",M34-H34)</f>
        <v/>
      </c>
      <c r="O34" s="58" t="str">
        <f aca="false">IF(M34="","",ABS(M34-H34)*24)</f>
        <v/>
      </c>
      <c r="P34" s="11"/>
      <c r="Q34" s="67" t="s">
        <v>233</v>
      </c>
      <c r="R34" s="67" t="s">
        <v>66</v>
      </c>
      <c r="S34" s="67" t="s">
        <v>234</v>
      </c>
    </row>
    <row r="35" customFormat="false" ht="36" hidden="false" customHeight="true" outlineLevel="0" collapsed="false">
      <c r="A35" s="23" t="n">
        <v>30</v>
      </c>
      <c r="B35" s="60" t="s">
        <v>210</v>
      </c>
      <c r="C35" s="23" t="s">
        <v>235</v>
      </c>
      <c r="D35" s="61" t="s">
        <v>236</v>
      </c>
      <c r="E35" s="62" t="s">
        <v>237</v>
      </c>
      <c r="F35" s="23" t="s">
        <v>114</v>
      </c>
      <c r="G35" s="26" t="e">
        <f aca="false">ROUND(8*$H$3,0)</f>
        <v>#VALUE!</v>
      </c>
      <c r="H35" s="25" t="e">
        <f aca="false">$C$3+G35</f>
        <v>#VALUE!</v>
      </c>
      <c r="I35" s="52"/>
      <c r="J35" s="53" t="n">
        <f aca="false">IF(I35="Complete",1,IF(I35="Skipped",1,IF(I35="Blocked",0.5,IF(I35="In Progress",0.25,0))))</f>
        <v>0</v>
      </c>
      <c r="K35" s="54"/>
      <c r="L35" s="55"/>
      <c r="M35" s="56"/>
      <c r="N35" s="57" t="str">
        <f aca="false">IF(M35="","",M35-H35)</f>
        <v/>
      </c>
      <c r="O35" s="58" t="str">
        <f aca="false">IF(M35="","",ABS(M35-H35)*24)</f>
        <v/>
      </c>
      <c r="P35" s="23"/>
      <c r="Q35" s="63" t="s">
        <v>238</v>
      </c>
      <c r="R35" s="63" t="s">
        <v>239</v>
      </c>
      <c r="S35" s="63"/>
    </row>
    <row r="36" customFormat="false" ht="36" hidden="false" customHeight="true" outlineLevel="0" collapsed="false">
      <c r="A36" s="46" t="n">
        <v>31</v>
      </c>
      <c r="B36" s="47" t="s">
        <v>240</v>
      </c>
      <c r="C36" s="46" t="s">
        <v>241</v>
      </c>
      <c r="D36" s="48" t="s">
        <v>242</v>
      </c>
      <c r="E36" s="49" t="s">
        <v>243</v>
      </c>
      <c r="F36" s="46" t="s">
        <v>64</v>
      </c>
      <c r="G36" s="50" t="e">
        <f aca="false">ROUND(9*$H$3,0)</f>
        <v>#VALUE!</v>
      </c>
      <c r="H36" s="51" t="e">
        <f aca="false">$C$3+G36</f>
        <v>#VALUE!</v>
      </c>
      <c r="I36" s="52"/>
      <c r="J36" s="53" t="n">
        <f aca="false">IF(I36="Complete",1,IF(I36="Skipped",1,IF(I36="Blocked",0.5,IF(I36="In Progress",0.25,0))))</f>
        <v>0</v>
      </c>
      <c r="K36" s="54"/>
      <c r="L36" s="55"/>
      <c r="M36" s="56"/>
      <c r="N36" s="57" t="str">
        <f aca="false">IF(M36="","",M36-H36)</f>
        <v/>
      </c>
      <c r="O36" s="58" t="str">
        <f aca="false">IF(M36="","",ABS(M36-H36)*24)</f>
        <v/>
      </c>
      <c r="P36" s="46"/>
      <c r="Q36" s="59" t="s">
        <v>244</v>
      </c>
      <c r="R36" s="59" t="s">
        <v>245</v>
      </c>
      <c r="S36" s="59" t="s">
        <v>246</v>
      </c>
    </row>
    <row r="37" customFormat="false" ht="36" hidden="false" customHeight="true" outlineLevel="0" collapsed="false">
      <c r="A37" s="23" t="n">
        <v>32</v>
      </c>
      <c r="B37" s="60" t="s">
        <v>240</v>
      </c>
      <c r="C37" s="23" t="s">
        <v>247</v>
      </c>
      <c r="D37" s="61" t="s">
        <v>248</v>
      </c>
      <c r="E37" s="62" t="s">
        <v>249</v>
      </c>
      <c r="F37" s="23" t="s">
        <v>114</v>
      </c>
      <c r="G37" s="26" t="e">
        <f aca="false">ROUND(10*$H$3,0)</f>
        <v>#VALUE!</v>
      </c>
      <c r="H37" s="25" t="e">
        <f aca="false">$C$3+G37</f>
        <v>#VALUE!</v>
      </c>
      <c r="I37" s="52"/>
      <c r="J37" s="53" t="n">
        <f aca="false">IF(I37="Complete",1,IF(I37="Skipped",1,IF(I37="Blocked",0.5,IF(I37="In Progress",0.25,0))))</f>
        <v>0</v>
      </c>
      <c r="K37" s="54"/>
      <c r="L37" s="55"/>
      <c r="M37" s="56"/>
      <c r="N37" s="57" t="str">
        <f aca="false">IF(M37="","",M37-H37)</f>
        <v/>
      </c>
      <c r="O37" s="58" t="str">
        <f aca="false">IF(M37="","",ABS(M37-H37)*24)</f>
        <v/>
      </c>
      <c r="P37" s="23"/>
      <c r="Q37" s="63" t="s">
        <v>250</v>
      </c>
      <c r="R37" s="63" t="s">
        <v>251</v>
      </c>
      <c r="S37" s="63"/>
    </row>
    <row r="38" customFormat="false" ht="36" hidden="false" customHeight="true" outlineLevel="0" collapsed="false">
      <c r="A38" s="11" t="n">
        <v>33</v>
      </c>
      <c r="B38" s="64" t="s">
        <v>240</v>
      </c>
      <c r="C38" s="11" t="s">
        <v>252</v>
      </c>
      <c r="D38" s="65" t="s">
        <v>253</v>
      </c>
      <c r="E38" s="66" t="s">
        <v>254</v>
      </c>
      <c r="F38" s="11" t="s">
        <v>152</v>
      </c>
      <c r="G38" s="17" t="e">
        <f aca="false">ROUND(10*$H$3,0)</f>
        <v>#VALUE!</v>
      </c>
      <c r="H38" s="16" t="e">
        <f aca="false">$C$3+G38</f>
        <v>#VALUE!</v>
      </c>
      <c r="I38" s="52"/>
      <c r="J38" s="53" t="n">
        <f aca="false">IF(I38="Complete",1,IF(I38="Skipped",1,IF(I38="Blocked",0.5,IF(I38="In Progress",0.25,0))))</f>
        <v>0</v>
      </c>
      <c r="K38" s="54"/>
      <c r="L38" s="55"/>
      <c r="M38" s="56"/>
      <c r="N38" s="57" t="str">
        <f aca="false">IF(M38="","",M38-H38)</f>
        <v/>
      </c>
      <c r="O38" s="58" t="str">
        <f aca="false">IF(M38="","",ABS(M38-H38)*24)</f>
        <v/>
      </c>
      <c r="P38" s="11"/>
      <c r="Q38" s="67" t="s">
        <v>255</v>
      </c>
      <c r="R38" s="67" t="s">
        <v>256</v>
      </c>
      <c r="S38" s="67" t="s">
        <v>257</v>
      </c>
    </row>
    <row r="39" customFormat="false" ht="36" hidden="false" customHeight="true" outlineLevel="0" collapsed="false">
      <c r="A39" s="23" t="n">
        <v>34</v>
      </c>
      <c r="B39" s="60" t="s">
        <v>240</v>
      </c>
      <c r="C39" s="23" t="s">
        <v>258</v>
      </c>
      <c r="D39" s="61" t="s">
        <v>259</v>
      </c>
      <c r="E39" s="62" t="s">
        <v>260</v>
      </c>
      <c r="F39" s="23" t="s">
        <v>64</v>
      </c>
      <c r="G39" s="26" t="e">
        <f aca="false">ROUND(10*$H$3,0)</f>
        <v>#VALUE!</v>
      </c>
      <c r="H39" s="25" t="e">
        <f aca="false">$C$3+G39</f>
        <v>#VALUE!</v>
      </c>
      <c r="I39" s="52"/>
      <c r="J39" s="53" t="n">
        <f aca="false">IF(I39="Complete",1,IF(I39="Skipped",1,IF(I39="Blocked",0.5,IF(I39="In Progress",0.25,0))))</f>
        <v>0</v>
      </c>
      <c r="K39" s="54"/>
      <c r="L39" s="55"/>
      <c r="M39" s="56"/>
      <c r="N39" s="57" t="str">
        <f aca="false">IF(M39="","",M39-H39)</f>
        <v/>
      </c>
      <c r="O39" s="58" t="str">
        <f aca="false">IF(M39="","",ABS(M39-H39)*24)</f>
        <v/>
      </c>
      <c r="P39" s="23"/>
      <c r="Q39" s="63" t="s">
        <v>261</v>
      </c>
      <c r="R39" s="63" t="s">
        <v>262</v>
      </c>
      <c r="S39" s="63"/>
    </row>
    <row r="40" customFormat="false" ht="36" hidden="false" customHeight="true" outlineLevel="0" collapsed="false">
      <c r="A40" s="46" t="n">
        <v>35</v>
      </c>
      <c r="B40" s="47" t="s">
        <v>263</v>
      </c>
      <c r="C40" s="46" t="s">
        <v>264</v>
      </c>
      <c r="D40" s="48" t="s">
        <v>265</v>
      </c>
      <c r="E40" s="49" t="s">
        <v>266</v>
      </c>
      <c r="F40" s="46" t="s">
        <v>64</v>
      </c>
      <c r="G40" s="50" t="e">
        <f aca="false">ROUND(10*$H$3,0)</f>
        <v>#VALUE!</v>
      </c>
      <c r="H40" s="51" t="e">
        <f aca="false">$C$3+G40</f>
        <v>#VALUE!</v>
      </c>
      <c r="I40" s="52"/>
      <c r="J40" s="53" t="n">
        <f aca="false">IF(I40="Complete",1,IF(I40="Skipped",1,IF(I40="Blocked",0.5,IF(I40="In Progress",0.25,0))))</f>
        <v>0</v>
      </c>
      <c r="K40" s="54"/>
      <c r="L40" s="55"/>
      <c r="M40" s="56"/>
      <c r="N40" s="57" t="str">
        <f aca="false">IF(M40="","",M40-H40)</f>
        <v/>
      </c>
      <c r="O40" s="58" t="str">
        <f aca="false">IF(M40="","",ABS(M40-H40)*24)</f>
        <v/>
      </c>
      <c r="P40" s="46"/>
      <c r="Q40" s="59" t="s">
        <v>267</v>
      </c>
      <c r="R40" s="59" t="s">
        <v>268</v>
      </c>
      <c r="S40" s="59" t="s">
        <v>269</v>
      </c>
    </row>
    <row r="41" customFormat="false" ht="36" hidden="false" customHeight="true" outlineLevel="0" collapsed="false">
      <c r="A41" s="46" t="n">
        <v>36</v>
      </c>
      <c r="B41" s="47" t="s">
        <v>270</v>
      </c>
      <c r="C41" s="46" t="s">
        <v>271</v>
      </c>
      <c r="D41" s="48" t="s">
        <v>272</v>
      </c>
      <c r="E41" s="49" t="s">
        <v>273</v>
      </c>
      <c r="F41" s="46" t="s">
        <v>214</v>
      </c>
      <c r="G41" s="50" t="e">
        <f aca="false">ROUND(11*$H$3,0)</f>
        <v>#VALUE!</v>
      </c>
      <c r="H41" s="51" t="e">
        <f aca="false">$C$3+G41</f>
        <v>#VALUE!</v>
      </c>
      <c r="I41" s="52"/>
      <c r="J41" s="53" t="n">
        <f aca="false">IF(I41="Complete",1,IF(I41="Skipped",1,IF(I41="Blocked",0.5,IF(I41="In Progress",0.25,0))))</f>
        <v>0</v>
      </c>
      <c r="K41" s="54"/>
      <c r="L41" s="55"/>
      <c r="M41" s="56"/>
      <c r="N41" s="57" t="str">
        <f aca="false">IF(M41="","",M41-H41)</f>
        <v/>
      </c>
      <c r="O41" s="58" t="str">
        <f aca="false">IF(M41="","",ABS(M41-H41)*24)</f>
        <v/>
      </c>
      <c r="P41" s="46"/>
      <c r="Q41" s="59" t="s">
        <v>274</v>
      </c>
      <c r="R41" s="59" t="s">
        <v>275</v>
      </c>
      <c r="S41" s="59" t="s">
        <v>276</v>
      </c>
    </row>
    <row r="42" customFormat="false" ht="36" hidden="false" customHeight="true" outlineLevel="0" collapsed="false">
      <c r="A42" s="11" t="n">
        <v>37</v>
      </c>
      <c r="B42" s="64" t="s">
        <v>270</v>
      </c>
      <c r="C42" s="11" t="s">
        <v>277</v>
      </c>
      <c r="D42" s="65" t="s">
        <v>278</v>
      </c>
      <c r="E42" s="66" t="s">
        <v>279</v>
      </c>
      <c r="F42" s="11" t="s">
        <v>64</v>
      </c>
      <c r="G42" s="17" t="e">
        <f aca="false">ROUND(11*$H$3,0)</f>
        <v>#VALUE!</v>
      </c>
      <c r="H42" s="16" t="e">
        <f aca="false">$C$3+G42</f>
        <v>#VALUE!</v>
      </c>
      <c r="I42" s="52"/>
      <c r="J42" s="53" t="n">
        <f aca="false">IF(I42="Complete",1,IF(I42="Skipped",1,IF(I42="Blocked",0.5,IF(I42="In Progress",0.25,0))))</f>
        <v>0</v>
      </c>
      <c r="K42" s="54"/>
      <c r="L42" s="55"/>
      <c r="M42" s="56"/>
      <c r="N42" s="57" t="str">
        <f aca="false">IF(M42="","",M42-H42)</f>
        <v/>
      </c>
      <c r="O42" s="58" t="str">
        <f aca="false">IF(M42="","",ABS(M42-H42)*24)</f>
        <v/>
      </c>
      <c r="P42" s="11"/>
      <c r="Q42" s="67" t="s">
        <v>280</v>
      </c>
      <c r="R42" s="67" t="s">
        <v>281</v>
      </c>
      <c r="S42" s="67" t="s">
        <v>282</v>
      </c>
    </row>
    <row r="43" customFormat="false" ht="36" hidden="false" customHeight="true" outlineLevel="0" collapsed="false">
      <c r="A43" s="23" t="n">
        <v>38</v>
      </c>
      <c r="B43" s="60" t="s">
        <v>270</v>
      </c>
      <c r="C43" s="23" t="s">
        <v>283</v>
      </c>
      <c r="D43" s="61" t="s">
        <v>284</v>
      </c>
      <c r="E43" s="62" t="s">
        <v>285</v>
      </c>
      <c r="F43" s="23" t="s">
        <v>114</v>
      </c>
      <c r="G43" s="26" t="e">
        <f aca="false">ROUND(11*$H$3,0)</f>
        <v>#VALUE!</v>
      </c>
      <c r="H43" s="25" t="e">
        <f aca="false">$C$3+G43</f>
        <v>#VALUE!</v>
      </c>
      <c r="I43" s="52"/>
      <c r="J43" s="53" t="n">
        <f aca="false">IF(I43="Complete",1,IF(I43="Skipped",1,IF(I43="Blocked",0.5,IF(I43="In Progress",0.25,0))))</f>
        <v>0</v>
      </c>
      <c r="K43" s="54"/>
      <c r="L43" s="55"/>
      <c r="M43" s="56"/>
      <c r="N43" s="57" t="str">
        <f aca="false">IF(M43="","",M43-H43)</f>
        <v/>
      </c>
      <c r="O43" s="58" t="str">
        <f aca="false">IF(M43="","",ABS(M43-H43)*24)</f>
        <v/>
      </c>
      <c r="P43" s="23"/>
      <c r="Q43" s="63" t="s">
        <v>286</v>
      </c>
      <c r="R43" s="63" t="s">
        <v>287</v>
      </c>
      <c r="S43" s="63"/>
    </row>
    <row r="44" customFormat="false" ht="36" hidden="false" customHeight="true" outlineLevel="0" collapsed="false">
      <c r="A44" s="46" t="n">
        <v>39</v>
      </c>
      <c r="B44" s="47" t="s">
        <v>288</v>
      </c>
      <c r="C44" s="46" t="s">
        <v>289</v>
      </c>
      <c r="D44" s="48" t="s">
        <v>290</v>
      </c>
      <c r="E44" s="49" t="s">
        <v>291</v>
      </c>
      <c r="F44" s="46" t="s">
        <v>64</v>
      </c>
      <c r="G44" s="50" t="e">
        <f aca="false">ROUND(12*$H$3,0)</f>
        <v>#VALUE!</v>
      </c>
      <c r="H44" s="51" t="e">
        <f aca="false">$C$3+G44</f>
        <v>#VALUE!</v>
      </c>
      <c r="I44" s="52"/>
      <c r="J44" s="53" t="n">
        <f aca="false">IF(I44="Complete",1,IF(I44="Skipped",1,IF(I44="Blocked",0.5,IF(I44="In Progress",0.25,0))))</f>
        <v>0</v>
      </c>
      <c r="K44" s="54"/>
      <c r="L44" s="55"/>
      <c r="M44" s="56"/>
      <c r="N44" s="57" t="str">
        <f aca="false">IF(M44="","",M44-H44)</f>
        <v/>
      </c>
      <c r="O44" s="58" t="str">
        <f aca="false">IF(M44="","",ABS(M44-H44)*24)</f>
        <v/>
      </c>
      <c r="P44" s="46"/>
      <c r="Q44" s="59" t="s">
        <v>292</v>
      </c>
      <c r="R44" s="59" t="s">
        <v>293</v>
      </c>
      <c r="S44" s="59" t="s">
        <v>294</v>
      </c>
    </row>
    <row r="45" customFormat="false" ht="36" hidden="false" customHeight="true" outlineLevel="0" collapsed="false">
      <c r="A45" s="23" t="n">
        <v>40</v>
      </c>
      <c r="B45" s="60" t="s">
        <v>288</v>
      </c>
      <c r="C45" s="23" t="s">
        <v>295</v>
      </c>
      <c r="D45" s="61" t="s">
        <v>296</v>
      </c>
      <c r="E45" s="62" t="s">
        <v>297</v>
      </c>
      <c r="F45" s="23" t="s">
        <v>64</v>
      </c>
      <c r="G45" s="26" t="e">
        <f aca="false">ROUND(12*$H$3,0)</f>
        <v>#VALUE!</v>
      </c>
      <c r="H45" s="25" t="e">
        <f aca="false">$C$3+G45</f>
        <v>#VALUE!</v>
      </c>
      <c r="I45" s="52"/>
      <c r="J45" s="53" t="n">
        <f aca="false">IF(I45="Complete",1,IF(I45="Skipped",1,IF(I45="Blocked",0.5,IF(I45="In Progress",0.25,0))))</f>
        <v>0</v>
      </c>
      <c r="K45" s="54"/>
      <c r="L45" s="55"/>
      <c r="M45" s="56"/>
      <c r="N45" s="57" t="str">
        <f aca="false">IF(M45="","",M45-H45)</f>
        <v/>
      </c>
      <c r="O45" s="58" t="str">
        <f aca="false">IF(M45="","",ABS(M45-H45)*24)</f>
        <v/>
      </c>
      <c r="P45" s="23"/>
      <c r="Q45" s="63" t="s">
        <v>298</v>
      </c>
      <c r="R45" s="63" t="s">
        <v>299</v>
      </c>
      <c r="S45" s="63" t="s">
        <v>300</v>
      </c>
    </row>
    <row r="46" customFormat="false" ht="36" hidden="false" customHeight="true" outlineLevel="0" collapsed="false">
      <c r="A46" s="11" t="n">
        <v>41</v>
      </c>
      <c r="B46" s="64" t="s">
        <v>288</v>
      </c>
      <c r="C46" s="11" t="s">
        <v>301</v>
      </c>
      <c r="D46" s="65" t="s">
        <v>302</v>
      </c>
      <c r="E46" s="66" t="s">
        <v>303</v>
      </c>
      <c r="F46" s="11" t="s">
        <v>114</v>
      </c>
      <c r="G46" s="17" t="e">
        <f aca="false">ROUND(12*$H$3,0)</f>
        <v>#VALUE!</v>
      </c>
      <c r="H46" s="16" t="e">
        <f aca="false">$C$3+G46</f>
        <v>#VALUE!</v>
      </c>
      <c r="I46" s="52"/>
      <c r="J46" s="53" t="n">
        <f aca="false">IF(I46="Complete",1,IF(I46="Skipped",1,IF(I46="Blocked",0.5,IF(I46="In Progress",0.25,0))))</f>
        <v>0</v>
      </c>
      <c r="K46" s="54"/>
      <c r="L46" s="55"/>
      <c r="M46" s="56"/>
      <c r="N46" s="57" t="str">
        <f aca="false">IF(M46="","",M46-H46)</f>
        <v/>
      </c>
      <c r="O46" s="58" t="str">
        <f aca="false">IF(M46="","",ABS(M46-H46)*24)</f>
        <v/>
      </c>
      <c r="P46" s="11"/>
      <c r="Q46" s="67" t="s">
        <v>304</v>
      </c>
      <c r="R46" s="67" t="s">
        <v>305</v>
      </c>
      <c r="S46" s="67" t="s">
        <v>306</v>
      </c>
    </row>
    <row r="47" customFormat="false" ht="36" hidden="false" customHeight="true" outlineLevel="0" collapsed="false">
      <c r="A47" s="23" t="n">
        <v>42</v>
      </c>
      <c r="B47" s="60" t="s">
        <v>288</v>
      </c>
      <c r="C47" s="23" t="s">
        <v>307</v>
      </c>
      <c r="D47" s="61" t="s">
        <v>308</v>
      </c>
      <c r="E47" s="62" t="s">
        <v>309</v>
      </c>
      <c r="F47" s="23" t="s">
        <v>64</v>
      </c>
      <c r="G47" s="26" t="e">
        <f aca="false">ROUND(13*$H$3,0)</f>
        <v>#VALUE!</v>
      </c>
      <c r="H47" s="25" t="e">
        <f aca="false">$C$3+G47</f>
        <v>#VALUE!</v>
      </c>
      <c r="I47" s="52"/>
      <c r="J47" s="53" t="n">
        <f aca="false">IF(I47="Complete",1,IF(I47="Skipped",1,IF(I47="Blocked",0.5,IF(I47="In Progress",0.25,0))))</f>
        <v>0</v>
      </c>
      <c r="K47" s="54"/>
      <c r="L47" s="55"/>
      <c r="M47" s="56"/>
      <c r="N47" s="57" t="str">
        <f aca="false">IF(M47="","",M47-H47)</f>
        <v/>
      </c>
      <c r="O47" s="58" t="str">
        <f aca="false">IF(M47="","",ABS(M47-H47)*24)</f>
        <v/>
      </c>
      <c r="P47" s="23"/>
      <c r="Q47" s="63" t="s">
        <v>310</v>
      </c>
      <c r="R47" s="63" t="s">
        <v>311</v>
      </c>
      <c r="S47" s="63" t="s">
        <v>312</v>
      </c>
    </row>
    <row r="48" customFormat="false" ht="36" hidden="false" customHeight="true" outlineLevel="0" collapsed="false">
      <c r="A48" s="11" t="n">
        <v>43</v>
      </c>
      <c r="B48" s="64" t="s">
        <v>288</v>
      </c>
      <c r="C48" s="11" t="s">
        <v>313</v>
      </c>
      <c r="D48" s="65" t="s">
        <v>314</v>
      </c>
      <c r="E48" s="66" t="s">
        <v>315</v>
      </c>
      <c r="F48" s="11" t="s">
        <v>214</v>
      </c>
      <c r="G48" s="17" t="e">
        <f aca="false">ROUND(13*$H$3,0)</f>
        <v>#VALUE!</v>
      </c>
      <c r="H48" s="16" t="e">
        <f aca="false">$C$3+G48</f>
        <v>#VALUE!</v>
      </c>
      <c r="I48" s="52"/>
      <c r="J48" s="53" t="n">
        <f aca="false">IF(I48="Complete",1,IF(I48="Skipped",1,IF(I48="Blocked",0.5,IF(I48="In Progress",0.25,0))))</f>
        <v>0</v>
      </c>
      <c r="K48" s="54"/>
      <c r="L48" s="55"/>
      <c r="M48" s="56"/>
      <c r="N48" s="57" t="str">
        <f aca="false">IF(M48="","",M48-H48)</f>
        <v/>
      </c>
      <c r="O48" s="58" t="str">
        <f aca="false">IF(M48="","",ABS(M48-H48)*24)</f>
        <v/>
      </c>
      <c r="P48" s="11"/>
      <c r="Q48" s="67" t="s">
        <v>316</v>
      </c>
      <c r="R48" s="67" t="s">
        <v>317</v>
      </c>
      <c r="S48" s="67" t="s">
        <v>318</v>
      </c>
    </row>
    <row r="49" customFormat="false" ht="36" hidden="false" customHeight="true" outlineLevel="0" collapsed="false">
      <c r="A49" s="23" t="n">
        <v>44</v>
      </c>
      <c r="B49" s="60" t="s">
        <v>288</v>
      </c>
      <c r="C49" s="23" t="s">
        <v>319</v>
      </c>
      <c r="D49" s="61" t="s">
        <v>320</v>
      </c>
      <c r="E49" s="62" t="s">
        <v>321</v>
      </c>
      <c r="F49" s="23" t="s">
        <v>64</v>
      </c>
      <c r="G49" s="26" t="e">
        <f aca="false">ROUND(14*$H$3,0)</f>
        <v>#VALUE!</v>
      </c>
      <c r="H49" s="25" t="e">
        <f aca="false">$C$3+G49</f>
        <v>#VALUE!</v>
      </c>
      <c r="I49" s="52"/>
      <c r="J49" s="53" t="n">
        <f aca="false">IF(I49="Complete",1,IF(I49="Skipped",1,IF(I49="Blocked",0.5,IF(I49="In Progress",0.25,0))))</f>
        <v>0</v>
      </c>
      <c r="K49" s="54"/>
      <c r="L49" s="55"/>
      <c r="M49" s="56"/>
      <c r="N49" s="57" t="str">
        <f aca="false">IF(M49="","",M49-H49)</f>
        <v/>
      </c>
      <c r="O49" s="58" t="str">
        <f aca="false">IF(M49="","",ABS(M49-H49)*24)</f>
        <v/>
      </c>
      <c r="P49" s="23"/>
      <c r="Q49" s="63" t="s">
        <v>322</v>
      </c>
      <c r="R49" s="63" t="s">
        <v>323</v>
      </c>
      <c r="S49" s="63" t="s">
        <v>324</v>
      </c>
    </row>
    <row r="50" customFormat="false" ht="36" hidden="false" customHeight="true" outlineLevel="0" collapsed="false">
      <c r="A50" s="11" t="n">
        <v>45</v>
      </c>
      <c r="B50" s="64" t="s">
        <v>288</v>
      </c>
      <c r="C50" s="11" t="s">
        <v>325</v>
      </c>
      <c r="D50" s="65" t="s">
        <v>326</v>
      </c>
      <c r="E50" s="66" t="s">
        <v>327</v>
      </c>
      <c r="F50" s="11" t="s">
        <v>64</v>
      </c>
      <c r="G50" s="17" t="e">
        <f aca="false">ROUND(14*$H$3,0)</f>
        <v>#VALUE!</v>
      </c>
      <c r="H50" s="16" t="e">
        <f aca="false">$C$3+G50</f>
        <v>#VALUE!</v>
      </c>
      <c r="I50" s="52"/>
      <c r="J50" s="53" t="n">
        <f aca="false">IF(I50="Complete",1,IF(I50="Skipped",1,IF(I50="Blocked",0.5,IF(I50="In Progress",0.25,0))))</f>
        <v>0</v>
      </c>
      <c r="K50" s="54"/>
      <c r="L50" s="55"/>
      <c r="M50" s="56"/>
      <c r="N50" s="57" t="str">
        <f aca="false">IF(M50="","",M50-H50)</f>
        <v/>
      </c>
      <c r="O50" s="58" t="str">
        <f aca="false">IF(M50="","",ABS(M50-H50)*24)</f>
        <v/>
      </c>
      <c r="P50" s="11"/>
      <c r="Q50" s="67" t="s">
        <v>328</v>
      </c>
      <c r="R50" s="67" t="s">
        <v>66</v>
      </c>
      <c r="S50" s="67" t="s">
        <v>329</v>
      </c>
    </row>
    <row r="51" customFormat="false" ht="36" hidden="false" customHeight="true" outlineLevel="0" collapsed="false">
      <c r="A51" s="23" t="n">
        <v>46</v>
      </c>
      <c r="B51" s="60" t="s">
        <v>288</v>
      </c>
      <c r="C51" s="23" t="s">
        <v>330</v>
      </c>
      <c r="D51" s="61" t="s">
        <v>331</v>
      </c>
      <c r="E51" s="62" t="s">
        <v>332</v>
      </c>
      <c r="F51" s="23" t="s">
        <v>114</v>
      </c>
      <c r="G51" s="26" t="e">
        <f aca="false">ROUND(14*$H$3,0)</f>
        <v>#VALUE!</v>
      </c>
      <c r="H51" s="25" t="e">
        <f aca="false">$C$3+G51</f>
        <v>#VALUE!</v>
      </c>
      <c r="I51" s="52"/>
      <c r="J51" s="53" t="n">
        <f aca="false">IF(I51="Complete",1,IF(I51="Skipped",1,IF(I51="Blocked",0.5,IF(I51="In Progress",0.25,0))))</f>
        <v>0</v>
      </c>
      <c r="K51" s="54"/>
      <c r="L51" s="55"/>
      <c r="M51" s="56"/>
      <c r="N51" s="57" t="str">
        <f aca="false">IF(M51="","",M51-H51)</f>
        <v/>
      </c>
      <c r="O51" s="58" t="str">
        <f aca="false">IF(M51="","",ABS(M51-H51)*24)</f>
        <v/>
      </c>
      <c r="P51" s="23"/>
      <c r="Q51" s="63" t="s">
        <v>333</v>
      </c>
      <c r="R51" s="63" t="s">
        <v>116</v>
      </c>
      <c r="S51" s="63" t="s">
        <v>334</v>
      </c>
    </row>
    <row r="53" customFormat="false" ht="15" hidden="false" customHeight="true" outlineLevel="0" collapsed="false">
      <c r="A53" s="9" t="s">
        <v>335</v>
      </c>
      <c r="B53" s="9"/>
      <c r="C53" s="9"/>
      <c r="D53" s="9"/>
      <c r="E53" s="9"/>
      <c r="F53" s="9"/>
      <c r="G53" s="31"/>
      <c r="H53" s="31"/>
      <c r="I53" s="68" t="s">
        <v>336</v>
      </c>
      <c r="J53" s="69" t="n">
        <f aca="false">AVERAGE(J6:J51)</f>
        <v>0</v>
      </c>
      <c r="K53" s="31"/>
      <c r="L53" s="68" t="s">
        <v>337</v>
      </c>
      <c r="M53" s="9" t="n">
        <f aca="false">SUMPRODUCT((M6:M51&lt;&gt;"")*1)</f>
        <v>0</v>
      </c>
      <c r="N53" s="31"/>
      <c r="O53" s="33" t="n">
        <f aca="false">SUM(O6:O51)</f>
        <v>0</v>
      </c>
      <c r="P53" s="31"/>
      <c r="Q53" s="31"/>
      <c r="R53" s="31"/>
      <c r="S53" s="31"/>
    </row>
    <row r="54" customFormat="false" ht="15" hidden="false" customHeight="false" outlineLevel="0" collapsed="false">
      <c r="M54" s="70" t="s">
        <v>338</v>
      </c>
      <c r="N54" s="71" t="str">
        <f aca="false">IFERROR(AVERAGE(N6:N51),"")</f>
        <v/>
      </c>
    </row>
    <row r="55" customFormat="false" ht="15" hidden="false" customHeight="false" outlineLevel="0" collapsed="false">
      <c r="M55" s="70" t="s">
        <v>339</v>
      </c>
      <c r="N55" s="72" t="n">
        <f aca="false">IFERROR(MAX(N6:N51),"")</f>
        <v>0</v>
      </c>
    </row>
  </sheetData>
  <autoFilter ref="A5:S5"/>
  <mergeCells count="5">
    <mergeCell ref="A1:S1"/>
    <mergeCell ref="A3:B3"/>
    <mergeCell ref="E3:F3"/>
    <mergeCell ref="I3:J3"/>
    <mergeCell ref="A53:F53"/>
  </mergeCells>
  <conditionalFormatting sqref="I6:I51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0">
      <formula>"Skipped"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2">
      <formula>"In Progress"</formula>
    </cfRule>
  </conditionalFormatting>
  <conditionalFormatting sqref="J6:J51">
    <cfRule type="expression" priority="6" aboveAverage="0" equalAverage="0" bottom="0" percent="0" rank="0" text="" dxfId="14">
      <formula>$J6=1</formula>
    </cfRule>
    <cfRule type="expression" priority="7" aboveAverage="0" equalAverage="0" bottom="0" percent="0" rank="0" text="" dxfId="15">
      <formula>$J6&gt;=0.5</formula>
    </cfRule>
    <cfRule type="expression" priority="8" aboveAverage="0" equalAverage="0" bottom="0" percent="0" rank="0" text="" dxfId="16">
      <formula>$J6&gt;=0.25</formula>
    </cfRule>
  </conditionalFormatting>
  <conditionalFormatting sqref="K6:K51">
    <cfRule type="expression" priority="9" aboveAverage="0" equalAverage="0" bottom="0" percent="0" rank="0" text="" dxfId="17">
      <formula>AND($I6="Complete",$K6="")</formula>
    </cfRule>
    <cfRule type="expression" priority="10" aboveAverage="0" equalAverage="0" bottom="0" percent="0" rank="0" text="" dxfId="14">
      <formula>AND(OR($I6="Complete",$I6="Skipped"),$K6&lt;&gt;"")</formula>
    </cfRule>
  </conditionalFormatting>
  <conditionalFormatting sqref="L6:L51">
    <cfRule type="expression" priority="11" aboveAverage="0" equalAverage="0" bottom="0" percent="0" rank="0" text="" dxfId="17">
      <formula>AND($I6="Complete",$L6="")</formula>
    </cfRule>
    <cfRule type="expression" priority="12" aboveAverage="0" equalAverage="0" bottom="0" percent="0" rank="0" text="" dxfId="18">
      <formula>AND($I6="In Progress",$L6="")</formula>
    </cfRule>
  </conditionalFormatting>
  <conditionalFormatting sqref="M6:M51">
    <cfRule type="expression" priority="13" aboveAverage="0" equalAverage="0" bottom="0" percent="0" rank="0" text="" dxfId="17">
      <formula>AND($I6="Complete",$M6="")</formula>
    </cfRule>
    <cfRule type="expression" priority="14" aboveAverage="0" equalAverage="0" bottom="0" percent="0" rank="0" text="" dxfId="14">
      <formula>AND($I6="Complete",$M6&lt;&gt;"")</formula>
    </cfRule>
  </conditionalFormatting>
  <conditionalFormatting sqref="A6:S51">
    <cfRule type="expression" priority="15" aboveAverage="0" equalAverage="0" bottom="0" percent="0" rank="0" text="" dxfId="19">
      <formula>AND($M6&lt;&gt;"",$N6&gt;=5)</formula>
    </cfRule>
    <cfRule type="expression" priority="16" aboveAverage="0" equalAverage="0" bottom="0" percent="0" rank="0" text="" dxfId="19">
      <formula>AND($M6&lt;&gt;"",$N6&gt;=4)</formula>
    </cfRule>
    <cfRule type="expression" priority="17" aboveAverage="0" equalAverage="0" bottom="0" percent="0" rank="0" text="" dxfId="20">
      <formula>AND($M6&lt;&gt;"",$N6&gt;=3)</formula>
    </cfRule>
    <cfRule type="expression" priority="18" aboveAverage="0" equalAverage="0" bottom="0" percent="0" rank="0" text="" dxfId="20">
      <formula>AND($M6&lt;&gt;"",$N6&gt;=2)</formula>
    </cfRule>
    <cfRule type="expression" priority="19" aboveAverage="0" equalAverage="0" bottom="0" percent="0" rank="0" text="" dxfId="21">
      <formula>AND($M6&lt;&gt;"",$N6&gt;=1)</formula>
    </cfRule>
    <cfRule type="expression" priority="20" aboveAverage="0" equalAverage="0" bottom="0" percent="0" rank="0" text="" dxfId="22">
      <formula>AND($M6&lt;&gt;"",$N6&lt;=0)</formula>
    </cfRule>
  </conditionalFormatting>
  <conditionalFormatting sqref="N6:N51">
    <cfRule type="expression" priority="21" aboveAverage="0" equalAverage="0" bottom="0" percent="0" rank="0" text="" dxfId="23">
      <formula>AND($M6&lt;&gt;"",$N6&gt;=5)</formula>
    </cfRule>
    <cfRule type="expression" priority="22" aboveAverage="0" equalAverage="0" bottom="0" percent="0" rank="0" text="" dxfId="24">
      <formula>AND($M6&lt;&gt;"",$N6&gt;=3)</formula>
    </cfRule>
    <cfRule type="expression" priority="23" aboveAverage="0" equalAverage="0" bottom="0" percent="0" rank="0" text="" dxfId="25">
      <formula>AND($M6&lt;&gt;"",$N6&gt;=1)</formula>
    </cfRule>
    <cfRule type="expression" priority="24" aboveAverage="0" equalAverage="0" bottom="0" percent="0" rank="0" text="" dxfId="26">
      <formula>AND($M6&lt;&gt;"",$N6&lt;=0)</formula>
    </cfRule>
  </conditionalFormatting>
  <dataValidations count="3">
    <dataValidation allowBlank="true" errorStyle="stop" operator="between" prompt="Complete needs: sign-off name + report link + completed date" promptTitle="Status" showDropDown="false" showErrorMessage="false" showInputMessage="true" sqref="I6:I51" type="list">
      <formula1>"Not Started,In Progress,Blocked,Complete,Skipped"</formula1>
      <formula2>0</formula2>
    </dataValidation>
    <dataValidation allowBlank="true" errorStyle="stop" operator="between" prompt="Select team member" promptTitle="Sign Off" showDropDown="false" showErrorMessage="false" showInputMessage="true" sqref="K6:K51" type="list">
      <formula1>TeamMembers</formula1>
      <formula2>0</formula2>
    </dataValidation>
    <dataValidation allowBlank="true" error="Enter a valid date (YYYY-MM-DD)" errorStyle="stop" errorTitle="Invalid Date" operator="greaterThan" prompt="Type the completion date (YYYY-MM-DD)" promptTitle="Completed Date" showDropDown="false" showErrorMessage="true" showInputMessage="true" sqref="M6:M51" type="date">
      <formula1>2020-1-1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tru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4" min="14" style="0" width="7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46"/>
    <col collapsed="false" customWidth="true" hidden="false" outlineLevel="0" max="19" min="18" style="0" width="38"/>
  </cols>
  <sheetData>
    <row r="1" customFormat="false" ht="17.35" hidden="false" customHeight="false" outlineLevel="0" collapsed="false">
      <c r="A1" s="1" t="str">
        <f aca="false">IF(Config!B13&lt;&gt;"",Config!B13&amp;" — DNS, Certificate &amp; SSO Migration Runbook","Project 8 — Assign name on Config sheet")</f>
        <v>Project 8 — Assign name on Config sheet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27.75" hidden="false" customHeight="true" outlineLevel="0" collapsed="false">
      <c r="A3" s="35" t="s">
        <v>40</v>
      </c>
      <c r="B3" s="35"/>
      <c r="C3" s="36" t="n">
        <f aca="false">Config!C13</f>
        <v>0</v>
      </c>
      <c r="D3" s="35" t="s">
        <v>41</v>
      </c>
      <c r="E3" s="37" t="n">
        <f aca="false">Config!D13</f>
        <v>0</v>
      </c>
      <c r="F3" s="37"/>
      <c r="G3" s="35" t="s">
        <v>42</v>
      </c>
      <c r="H3" s="38" t="str">
        <f aca="false">Config!E13</f>
        <v/>
      </c>
      <c r="I3" s="35" t="s">
        <v>43</v>
      </c>
      <c r="J3" s="35"/>
      <c r="K3" s="36" t="str">
        <f aca="false">Config!F13</f>
        <v/>
      </c>
      <c r="L3" s="35" t="s">
        <v>44</v>
      </c>
      <c r="M3" s="39" t="str">
        <f aca="false">Config!G13</f>
        <v/>
      </c>
      <c r="N3" s="40"/>
      <c r="O3" s="40"/>
      <c r="P3" s="40"/>
      <c r="Q3" s="40"/>
      <c r="R3" s="40"/>
      <c r="S3" s="40"/>
    </row>
    <row r="5" customFormat="false" ht="35.05" hidden="false" customHeight="false" outlineLevel="0" collapsed="false">
      <c r="A5" s="9" t="s">
        <v>10</v>
      </c>
      <c r="B5" s="9" t="s">
        <v>45</v>
      </c>
      <c r="C5" s="9" t="s">
        <v>46</v>
      </c>
      <c r="D5" s="9" t="s">
        <v>47</v>
      </c>
      <c r="E5" s="9" t="s">
        <v>48</v>
      </c>
      <c r="F5" s="9" t="s">
        <v>49</v>
      </c>
      <c r="G5" s="9" t="s">
        <v>50</v>
      </c>
      <c r="H5" s="9" t="s">
        <v>51</v>
      </c>
      <c r="I5" s="41" t="s">
        <v>20</v>
      </c>
      <c r="J5" s="42" t="s">
        <v>17</v>
      </c>
      <c r="K5" s="43" t="s">
        <v>52</v>
      </c>
      <c r="L5" s="44" t="s">
        <v>53</v>
      </c>
      <c r="M5" s="45" t="s">
        <v>18</v>
      </c>
      <c r="N5" s="9" t="s">
        <v>54</v>
      </c>
      <c r="O5" s="9" t="s">
        <v>55</v>
      </c>
      <c r="P5" s="9" t="s">
        <v>56</v>
      </c>
      <c r="Q5" s="9" t="s">
        <v>57</v>
      </c>
      <c r="R5" s="9" t="s">
        <v>58</v>
      </c>
      <c r="S5" s="9" t="s">
        <v>59</v>
      </c>
    </row>
    <row r="6" customFormat="false" ht="36" hidden="false" customHeight="true" outlineLevel="0" collapsed="false">
      <c r="A6" s="46" t="n">
        <v>1</v>
      </c>
      <c r="B6" s="47" t="s">
        <v>60</v>
      </c>
      <c r="C6" s="46" t="s">
        <v>61</v>
      </c>
      <c r="D6" s="48" t="s">
        <v>62</v>
      </c>
      <c r="E6" s="49" t="s">
        <v>63</v>
      </c>
      <c r="F6" s="46" t="s">
        <v>64</v>
      </c>
      <c r="G6" s="50" t="e">
        <f aca="false">ROUND(0*$H$3,0)</f>
        <v>#VALUE!</v>
      </c>
      <c r="H6" s="51" t="e">
        <f aca="false">$C$3+G6</f>
        <v>#VALUE!</v>
      </c>
      <c r="I6" s="52"/>
      <c r="J6" s="53" t="n">
        <f aca="false">IF(I6="Complete",1,IF(I6="Skipped",1,IF(I6="Blocked",0.5,IF(I6="In Progress",0.25,0))))</f>
        <v>0</v>
      </c>
      <c r="K6" s="54"/>
      <c r="L6" s="55"/>
      <c r="M6" s="56"/>
      <c r="N6" s="57" t="str">
        <f aca="false">IF(M6="","",M6-H6)</f>
        <v/>
      </c>
      <c r="O6" s="58" t="str">
        <f aca="false">IF(M6="","",ABS(M6-H6)*24)</f>
        <v/>
      </c>
      <c r="P6" s="46"/>
      <c r="Q6" s="59" t="s">
        <v>65</v>
      </c>
      <c r="R6" s="59" t="s">
        <v>66</v>
      </c>
      <c r="S6" s="59" t="s">
        <v>67</v>
      </c>
    </row>
    <row r="7" customFormat="false" ht="36" hidden="false" customHeight="true" outlineLevel="0" collapsed="false">
      <c r="A7" s="23" t="n">
        <v>2</v>
      </c>
      <c r="B7" s="60" t="s">
        <v>60</v>
      </c>
      <c r="C7" s="23" t="s">
        <v>68</v>
      </c>
      <c r="D7" s="61" t="s">
        <v>69</v>
      </c>
      <c r="E7" s="62" t="s">
        <v>70</v>
      </c>
      <c r="F7" s="23" t="s">
        <v>64</v>
      </c>
      <c r="G7" s="26" t="e">
        <f aca="false">ROUND(0*$H$3,0)</f>
        <v>#VALUE!</v>
      </c>
      <c r="H7" s="25" t="e">
        <f aca="false">$C$3+G7</f>
        <v>#VALUE!</v>
      </c>
      <c r="I7" s="52"/>
      <c r="J7" s="53" t="n">
        <f aca="false">IF(I7="Complete",1,IF(I7="Skipped",1,IF(I7="Blocked",0.5,IF(I7="In Progress",0.25,0))))</f>
        <v>0</v>
      </c>
      <c r="K7" s="54"/>
      <c r="L7" s="55"/>
      <c r="M7" s="56"/>
      <c r="N7" s="57" t="str">
        <f aca="false">IF(M7="","",M7-H7)</f>
        <v/>
      </c>
      <c r="O7" s="58" t="str">
        <f aca="false">IF(M7="","",ABS(M7-H7)*24)</f>
        <v/>
      </c>
      <c r="P7" s="23"/>
      <c r="Q7" s="63" t="s">
        <v>71</v>
      </c>
      <c r="R7" s="63" t="s">
        <v>66</v>
      </c>
      <c r="S7" s="63" t="s">
        <v>72</v>
      </c>
    </row>
    <row r="8" customFormat="false" ht="36" hidden="false" customHeight="true" outlineLevel="0" collapsed="false">
      <c r="A8" s="11" t="n">
        <v>3</v>
      </c>
      <c r="B8" s="64" t="s">
        <v>60</v>
      </c>
      <c r="C8" s="11" t="s">
        <v>73</v>
      </c>
      <c r="D8" s="65" t="s">
        <v>74</v>
      </c>
      <c r="E8" s="66" t="s">
        <v>75</v>
      </c>
      <c r="F8" s="11" t="s">
        <v>64</v>
      </c>
      <c r="G8" s="17" t="e">
        <f aca="false">ROUND(0*$H$3,0)</f>
        <v>#VALUE!</v>
      </c>
      <c r="H8" s="16" t="e">
        <f aca="false">$C$3+G8</f>
        <v>#VALUE!</v>
      </c>
      <c r="I8" s="52"/>
      <c r="J8" s="53" t="n">
        <f aca="false">IF(I8="Complete",1,IF(I8="Skipped",1,IF(I8="Blocked",0.5,IF(I8="In Progress",0.25,0))))</f>
        <v>0</v>
      </c>
      <c r="K8" s="54"/>
      <c r="L8" s="55"/>
      <c r="M8" s="56"/>
      <c r="N8" s="57" t="str">
        <f aca="false">IF(M8="","",M8-H8)</f>
        <v/>
      </c>
      <c r="O8" s="58" t="str">
        <f aca="false">IF(M8="","",ABS(M8-H8)*24)</f>
        <v/>
      </c>
      <c r="P8" s="11"/>
      <c r="Q8" s="67" t="s">
        <v>76</v>
      </c>
      <c r="R8" s="67" t="s">
        <v>66</v>
      </c>
      <c r="S8" s="67" t="s">
        <v>77</v>
      </c>
    </row>
    <row r="9" customFormat="false" ht="36" hidden="false" customHeight="true" outlineLevel="0" collapsed="false">
      <c r="A9" s="23" t="n">
        <v>4</v>
      </c>
      <c r="B9" s="60" t="s">
        <v>60</v>
      </c>
      <c r="C9" s="23" t="s">
        <v>78</v>
      </c>
      <c r="D9" s="61" t="s">
        <v>79</v>
      </c>
      <c r="E9" s="62" t="s">
        <v>80</v>
      </c>
      <c r="F9" s="23" t="s">
        <v>64</v>
      </c>
      <c r="G9" s="26" t="e">
        <f aca="false">ROUND(1*$H$3,0)</f>
        <v>#VALUE!</v>
      </c>
      <c r="H9" s="25" t="e">
        <f aca="false">$C$3+G9</f>
        <v>#VALUE!</v>
      </c>
      <c r="I9" s="52"/>
      <c r="J9" s="53" t="n">
        <f aca="false">IF(I9="Complete",1,IF(I9="Skipped",1,IF(I9="Blocked",0.5,IF(I9="In Progress",0.25,0))))</f>
        <v>0</v>
      </c>
      <c r="K9" s="54"/>
      <c r="L9" s="55"/>
      <c r="M9" s="56"/>
      <c r="N9" s="57" t="str">
        <f aca="false">IF(M9="","",M9-H9)</f>
        <v/>
      </c>
      <c r="O9" s="58" t="str">
        <f aca="false">IF(M9="","",ABS(M9-H9)*24)</f>
        <v/>
      </c>
      <c r="P9" s="23"/>
      <c r="Q9" s="63" t="s">
        <v>81</v>
      </c>
      <c r="R9" s="63" t="s">
        <v>66</v>
      </c>
      <c r="S9" s="63" t="s">
        <v>82</v>
      </c>
    </row>
    <row r="10" customFormat="false" ht="36" hidden="false" customHeight="true" outlineLevel="0" collapsed="false">
      <c r="A10" s="11" t="n">
        <v>5</v>
      </c>
      <c r="B10" s="64" t="s">
        <v>60</v>
      </c>
      <c r="C10" s="11" t="s">
        <v>83</v>
      </c>
      <c r="D10" s="65" t="s">
        <v>84</v>
      </c>
      <c r="E10" s="66" t="s">
        <v>85</v>
      </c>
      <c r="F10" s="11" t="s">
        <v>64</v>
      </c>
      <c r="G10" s="17" t="e">
        <f aca="false">ROUND(1*$H$3,0)</f>
        <v>#VALUE!</v>
      </c>
      <c r="H10" s="16" t="e">
        <f aca="false">$C$3+G10</f>
        <v>#VALUE!</v>
      </c>
      <c r="I10" s="52"/>
      <c r="J10" s="53" t="n">
        <f aca="false">IF(I10="Complete",1,IF(I10="Skipped",1,IF(I10="Blocked",0.5,IF(I10="In Progress",0.25,0))))</f>
        <v>0</v>
      </c>
      <c r="K10" s="54"/>
      <c r="L10" s="55"/>
      <c r="M10" s="56"/>
      <c r="N10" s="57" t="str">
        <f aca="false">IF(M10="","",M10-H10)</f>
        <v/>
      </c>
      <c r="O10" s="58" t="str">
        <f aca="false">IF(M10="","",ABS(M10-H10)*24)</f>
        <v/>
      </c>
      <c r="P10" s="11"/>
      <c r="Q10" s="67" t="s">
        <v>86</v>
      </c>
      <c r="R10" s="67" t="s">
        <v>66</v>
      </c>
      <c r="S10" s="67" t="s">
        <v>87</v>
      </c>
    </row>
    <row r="11" customFormat="false" ht="36" hidden="false" customHeight="true" outlineLevel="0" collapsed="false">
      <c r="A11" s="23" t="n">
        <v>6</v>
      </c>
      <c r="B11" s="60" t="s">
        <v>60</v>
      </c>
      <c r="C11" s="23" t="s">
        <v>88</v>
      </c>
      <c r="D11" s="61" t="s">
        <v>89</v>
      </c>
      <c r="E11" s="62" t="s">
        <v>90</v>
      </c>
      <c r="F11" s="23" t="s">
        <v>64</v>
      </c>
      <c r="G11" s="26" t="e">
        <f aca="false">ROUND(1*$H$3,0)</f>
        <v>#VALUE!</v>
      </c>
      <c r="H11" s="25" t="e">
        <f aca="false">$C$3+G11</f>
        <v>#VALUE!</v>
      </c>
      <c r="I11" s="52"/>
      <c r="J11" s="53" t="n">
        <f aca="false">IF(I11="Complete",1,IF(I11="Skipped",1,IF(I11="Blocked",0.5,IF(I11="In Progress",0.25,0))))</f>
        <v>0</v>
      </c>
      <c r="K11" s="54"/>
      <c r="L11" s="55"/>
      <c r="M11" s="56"/>
      <c r="N11" s="57" t="str">
        <f aca="false">IF(M11="","",M11-H11)</f>
        <v/>
      </c>
      <c r="O11" s="58" t="str">
        <f aca="false">IF(M11="","",ABS(M11-H11)*24)</f>
        <v/>
      </c>
      <c r="P11" s="23"/>
      <c r="Q11" s="63" t="s">
        <v>91</v>
      </c>
      <c r="R11" s="63" t="s">
        <v>66</v>
      </c>
      <c r="S11" s="63" t="s">
        <v>92</v>
      </c>
    </row>
    <row r="12" customFormat="false" ht="36" hidden="false" customHeight="true" outlineLevel="0" collapsed="false">
      <c r="A12" s="11" t="n">
        <v>7</v>
      </c>
      <c r="B12" s="64" t="s">
        <v>60</v>
      </c>
      <c r="C12" s="11" t="s">
        <v>93</v>
      </c>
      <c r="D12" s="65" t="s">
        <v>94</v>
      </c>
      <c r="E12" s="66" t="s">
        <v>95</v>
      </c>
      <c r="F12" s="11" t="s">
        <v>96</v>
      </c>
      <c r="G12" s="17" t="e">
        <f aca="false">ROUND(1*$H$3,0)</f>
        <v>#VALUE!</v>
      </c>
      <c r="H12" s="16" t="e">
        <f aca="false">$C$3+G12</f>
        <v>#VALUE!</v>
      </c>
      <c r="I12" s="52"/>
      <c r="J12" s="53" t="n">
        <f aca="false">IF(I12="Complete",1,IF(I12="Skipped",1,IF(I12="Blocked",0.5,IF(I12="In Progress",0.25,0))))</f>
        <v>0</v>
      </c>
      <c r="K12" s="54"/>
      <c r="L12" s="55"/>
      <c r="M12" s="56"/>
      <c r="N12" s="57" t="str">
        <f aca="false">IF(M12="","",M12-H12)</f>
        <v/>
      </c>
      <c r="O12" s="58" t="str">
        <f aca="false">IF(M12="","",ABS(M12-H12)*24)</f>
        <v/>
      </c>
      <c r="P12" s="11"/>
      <c r="Q12" s="67" t="s">
        <v>97</v>
      </c>
      <c r="R12" s="67" t="s">
        <v>66</v>
      </c>
      <c r="S12" s="67" t="s">
        <v>98</v>
      </c>
    </row>
    <row r="13" customFormat="false" ht="36" hidden="false" customHeight="true" outlineLevel="0" collapsed="false">
      <c r="A13" s="23" t="n">
        <v>8</v>
      </c>
      <c r="B13" s="60" t="s">
        <v>60</v>
      </c>
      <c r="C13" s="23" t="s">
        <v>99</v>
      </c>
      <c r="D13" s="61" t="s">
        <v>100</v>
      </c>
      <c r="E13" s="62" t="s">
        <v>101</v>
      </c>
      <c r="F13" s="23" t="s">
        <v>64</v>
      </c>
      <c r="G13" s="26" t="e">
        <f aca="false">ROUND(1*$H$3,0)</f>
        <v>#VALUE!</v>
      </c>
      <c r="H13" s="25" t="e">
        <f aca="false">$C$3+G13</f>
        <v>#VALUE!</v>
      </c>
      <c r="I13" s="52"/>
      <c r="J13" s="53" t="n">
        <f aca="false">IF(I13="Complete",1,IF(I13="Skipped",1,IF(I13="Blocked",0.5,IF(I13="In Progress",0.25,0))))</f>
        <v>0</v>
      </c>
      <c r="K13" s="54"/>
      <c r="L13" s="55"/>
      <c r="M13" s="56"/>
      <c r="N13" s="57" t="str">
        <f aca="false">IF(M13="","",M13-H13)</f>
        <v/>
      </c>
      <c r="O13" s="58" t="str">
        <f aca="false">IF(M13="","",ABS(M13-H13)*24)</f>
        <v/>
      </c>
      <c r="P13" s="23"/>
      <c r="Q13" s="63" t="s">
        <v>102</v>
      </c>
      <c r="R13" s="63" t="s">
        <v>103</v>
      </c>
      <c r="S13" s="63" t="s">
        <v>104</v>
      </c>
    </row>
    <row r="14" customFormat="false" ht="36" hidden="false" customHeight="true" outlineLevel="0" collapsed="false">
      <c r="A14" s="11" t="n">
        <v>9</v>
      </c>
      <c r="B14" s="64" t="s">
        <v>60</v>
      </c>
      <c r="C14" s="11" t="s">
        <v>105</v>
      </c>
      <c r="D14" s="65" t="s">
        <v>106</v>
      </c>
      <c r="E14" s="66" t="s">
        <v>107</v>
      </c>
      <c r="F14" s="11" t="s">
        <v>64</v>
      </c>
      <c r="G14" s="17" t="e">
        <f aca="false">ROUND(2*$H$3,0)</f>
        <v>#VALUE!</v>
      </c>
      <c r="H14" s="16" t="e">
        <f aca="false">$C$3+G14</f>
        <v>#VALUE!</v>
      </c>
      <c r="I14" s="52"/>
      <c r="J14" s="53" t="n">
        <f aca="false">IF(I14="Complete",1,IF(I14="Skipped",1,IF(I14="Blocked",0.5,IF(I14="In Progress",0.25,0))))</f>
        <v>0</v>
      </c>
      <c r="K14" s="54"/>
      <c r="L14" s="55"/>
      <c r="M14" s="56"/>
      <c r="N14" s="57" t="str">
        <f aca="false">IF(M14="","",M14-H14)</f>
        <v/>
      </c>
      <c r="O14" s="58" t="str">
        <f aca="false">IF(M14="","",ABS(M14-H14)*24)</f>
        <v/>
      </c>
      <c r="P14" s="11"/>
      <c r="Q14" s="67" t="s">
        <v>108</v>
      </c>
      <c r="R14" s="67" t="s">
        <v>109</v>
      </c>
      <c r="S14" s="67" t="s">
        <v>110</v>
      </c>
    </row>
    <row r="15" customFormat="false" ht="36" hidden="false" customHeight="true" outlineLevel="0" collapsed="false">
      <c r="A15" s="23" t="n">
        <v>10</v>
      </c>
      <c r="B15" s="60" t="s">
        <v>60</v>
      </c>
      <c r="C15" s="23" t="s">
        <v>111</v>
      </c>
      <c r="D15" s="61" t="s">
        <v>112</v>
      </c>
      <c r="E15" s="62" t="s">
        <v>113</v>
      </c>
      <c r="F15" s="23" t="s">
        <v>114</v>
      </c>
      <c r="G15" s="26" t="e">
        <f aca="false">ROUND(2*$H$3,0)</f>
        <v>#VALUE!</v>
      </c>
      <c r="H15" s="25" t="e">
        <f aca="false">$C$3+G15</f>
        <v>#VALUE!</v>
      </c>
      <c r="I15" s="52"/>
      <c r="J15" s="53" t="n">
        <f aca="false">IF(I15="Complete",1,IF(I15="Skipped",1,IF(I15="Blocked",0.5,IF(I15="In Progress",0.25,0))))</f>
        <v>0</v>
      </c>
      <c r="K15" s="54"/>
      <c r="L15" s="55"/>
      <c r="M15" s="56"/>
      <c r="N15" s="57" t="str">
        <f aca="false">IF(M15="","",M15-H15)</f>
        <v/>
      </c>
      <c r="O15" s="58" t="str">
        <f aca="false">IF(M15="","",ABS(M15-H15)*24)</f>
        <v/>
      </c>
      <c r="P15" s="23"/>
      <c r="Q15" s="63" t="s">
        <v>115</v>
      </c>
      <c r="R15" s="63" t="s">
        <v>116</v>
      </c>
      <c r="S15" s="63" t="s">
        <v>117</v>
      </c>
    </row>
    <row r="16" customFormat="false" ht="36" hidden="false" customHeight="true" outlineLevel="0" collapsed="false">
      <c r="A16" s="46" t="n">
        <v>11</v>
      </c>
      <c r="B16" s="47" t="s">
        <v>118</v>
      </c>
      <c r="C16" s="46" t="s">
        <v>119</v>
      </c>
      <c r="D16" s="48" t="s">
        <v>120</v>
      </c>
      <c r="E16" s="49" t="s">
        <v>121</v>
      </c>
      <c r="F16" s="46" t="s">
        <v>64</v>
      </c>
      <c r="G16" s="50" t="e">
        <f aca="false">ROUND(3*$H$3,0)</f>
        <v>#VALUE!</v>
      </c>
      <c r="H16" s="51" t="e">
        <f aca="false">$C$3+G16</f>
        <v>#VALUE!</v>
      </c>
      <c r="I16" s="52"/>
      <c r="J16" s="53" t="n">
        <f aca="false">IF(I16="Complete",1,IF(I16="Skipped",1,IF(I16="Blocked",0.5,IF(I16="In Progress",0.25,0))))</f>
        <v>0</v>
      </c>
      <c r="K16" s="54"/>
      <c r="L16" s="55"/>
      <c r="M16" s="56"/>
      <c r="N16" s="57" t="str">
        <f aca="false">IF(M16="","",M16-H16)</f>
        <v/>
      </c>
      <c r="O16" s="58" t="str">
        <f aca="false">IF(M16="","",ABS(M16-H16)*24)</f>
        <v/>
      </c>
      <c r="P16" s="46"/>
      <c r="Q16" s="59" t="s">
        <v>122</v>
      </c>
      <c r="R16" s="59" t="s">
        <v>123</v>
      </c>
      <c r="S16" s="59" t="s">
        <v>124</v>
      </c>
    </row>
    <row r="17" customFormat="false" ht="36" hidden="false" customHeight="true" outlineLevel="0" collapsed="false">
      <c r="A17" s="23" t="n">
        <v>12</v>
      </c>
      <c r="B17" s="60" t="s">
        <v>118</v>
      </c>
      <c r="C17" s="23" t="s">
        <v>125</v>
      </c>
      <c r="D17" s="61" t="s">
        <v>126</v>
      </c>
      <c r="E17" s="62" t="s">
        <v>127</v>
      </c>
      <c r="F17" s="23" t="s">
        <v>64</v>
      </c>
      <c r="G17" s="26" t="e">
        <f aca="false">ROUND(3*$H$3,0)</f>
        <v>#VALUE!</v>
      </c>
      <c r="H17" s="25" t="e">
        <f aca="false">$C$3+G17</f>
        <v>#VALUE!</v>
      </c>
      <c r="I17" s="52"/>
      <c r="J17" s="53" t="n">
        <f aca="false">IF(I17="Complete",1,IF(I17="Skipped",1,IF(I17="Blocked",0.5,IF(I17="In Progress",0.25,0))))</f>
        <v>0</v>
      </c>
      <c r="K17" s="54"/>
      <c r="L17" s="55"/>
      <c r="M17" s="56"/>
      <c r="N17" s="57" t="str">
        <f aca="false">IF(M17="","",M17-H17)</f>
        <v/>
      </c>
      <c r="O17" s="58" t="str">
        <f aca="false">IF(M17="","",ABS(M17-H17)*24)</f>
        <v/>
      </c>
      <c r="P17" s="23"/>
      <c r="Q17" s="63" t="s">
        <v>128</v>
      </c>
      <c r="R17" s="63" t="s">
        <v>129</v>
      </c>
      <c r="S17" s="63" t="s">
        <v>130</v>
      </c>
    </row>
    <row r="18" customFormat="false" ht="36" hidden="false" customHeight="true" outlineLevel="0" collapsed="false">
      <c r="A18" s="11" t="n">
        <v>13</v>
      </c>
      <c r="B18" s="64" t="s">
        <v>118</v>
      </c>
      <c r="C18" s="11" t="s">
        <v>131</v>
      </c>
      <c r="D18" s="65" t="s">
        <v>132</v>
      </c>
      <c r="E18" s="66" t="s">
        <v>133</v>
      </c>
      <c r="F18" s="11" t="s">
        <v>64</v>
      </c>
      <c r="G18" s="17" t="e">
        <f aca="false">ROUND(3*$H$3,0)</f>
        <v>#VALUE!</v>
      </c>
      <c r="H18" s="16" t="e">
        <f aca="false">$C$3+G18</f>
        <v>#VALUE!</v>
      </c>
      <c r="I18" s="52"/>
      <c r="J18" s="53" t="n">
        <f aca="false">IF(I18="Complete",1,IF(I18="Skipped",1,IF(I18="Blocked",0.5,IF(I18="In Progress",0.25,0))))</f>
        <v>0</v>
      </c>
      <c r="K18" s="54"/>
      <c r="L18" s="55"/>
      <c r="M18" s="56"/>
      <c r="N18" s="57" t="str">
        <f aca="false">IF(M18="","",M18-H18)</f>
        <v/>
      </c>
      <c r="O18" s="58" t="str">
        <f aca="false">IF(M18="","",ABS(M18-H18)*24)</f>
        <v/>
      </c>
      <c r="P18" s="11"/>
      <c r="Q18" s="67" t="s">
        <v>134</v>
      </c>
      <c r="R18" s="67" t="s">
        <v>135</v>
      </c>
      <c r="S18" s="67" t="s">
        <v>136</v>
      </c>
    </row>
    <row r="19" customFormat="false" ht="36" hidden="false" customHeight="true" outlineLevel="0" collapsed="false">
      <c r="A19" s="23" t="n">
        <v>14</v>
      </c>
      <c r="B19" s="60" t="s">
        <v>118</v>
      </c>
      <c r="C19" s="23" t="s">
        <v>137</v>
      </c>
      <c r="D19" s="61" t="s">
        <v>138</v>
      </c>
      <c r="E19" s="62" t="s">
        <v>139</v>
      </c>
      <c r="F19" s="23" t="s">
        <v>64</v>
      </c>
      <c r="G19" s="26" t="e">
        <f aca="false">ROUND(3*$H$3,0)</f>
        <v>#VALUE!</v>
      </c>
      <c r="H19" s="25" t="e">
        <f aca="false">$C$3+G19</f>
        <v>#VALUE!</v>
      </c>
      <c r="I19" s="52"/>
      <c r="J19" s="53" t="n">
        <f aca="false">IF(I19="Complete",1,IF(I19="Skipped",1,IF(I19="Blocked",0.5,IF(I19="In Progress",0.25,0))))</f>
        <v>0</v>
      </c>
      <c r="K19" s="54"/>
      <c r="L19" s="55"/>
      <c r="M19" s="56"/>
      <c r="N19" s="57" t="str">
        <f aca="false">IF(M19="","",M19-H19)</f>
        <v/>
      </c>
      <c r="O19" s="58" t="str">
        <f aca="false">IF(M19="","",ABS(M19-H19)*24)</f>
        <v/>
      </c>
      <c r="P19" s="23"/>
      <c r="Q19" s="63" t="s">
        <v>140</v>
      </c>
      <c r="R19" s="63" t="s">
        <v>141</v>
      </c>
      <c r="S19" s="63" t="s">
        <v>142</v>
      </c>
    </row>
    <row r="20" customFormat="false" ht="36" hidden="false" customHeight="true" outlineLevel="0" collapsed="false">
      <c r="A20" s="11" t="n">
        <v>15</v>
      </c>
      <c r="B20" s="64" t="s">
        <v>118</v>
      </c>
      <c r="C20" s="11" t="s">
        <v>143</v>
      </c>
      <c r="D20" s="65" t="s">
        <v>144</v>
      </c>
      <c r="E20" s="66" t="s">
        <v>145</v>
      </c>
      <c r="F20" s="11" t="s">
        <v>64</v>
      </c>
      <c r="G20" s="17" t="e">
        <f aca="false">ROUND(3*$H$3,0)</f>
        <v>#VALUE!</v>
      </c>
      <c r="H20" s="16" t="e">
        <f aca="false">$C$3+G20</f>
        <v>#VALUE!</v>
      </c>
      <c r="I20" s="52"/>
      <c r="J20" s="53" t="n">
        <f aca="false">IF(I20="Complete",1,IF(I20="Skipped",1,IF(I20="Blocked",0.5,IF(I20="In Progress",0.25,0))))</f>
        <v>0</v>
      </c>
      <c r="K20" s="54"/>
      <c r="L20" s="55"/>
      <c r="M20" s="56"/>
      <c r="N20" s="57" t="str">
        <f aca="false">IF(M20="","",M20-H20)</f>
        <v/>
      </c>
      <c r="O20" s="58" t="str">
        <f aca="false">IF(M20="","",ABS(M20-H20)*24)</f>
        <v/>
      </c>
      <c r="P20" s="11"/>
      <c r="Q20" s="67" t="s">
        <v>146</v>
      </c>
      <c r="R20" s="67" t="s">
        <v>147</v>
      </c>
      <c r="S20" s="67" t="s">
        <v>148</v>
      </c>
    </row>
    <row r="21" customFormat="false" ht="36" hidden="false" customHeight="true" outlineLevel="0" collapsed="false">
      <c r="A21" s="23" t="n">
        <v>16</v>
      </c>
      <c r="B21" s="60" t="s">
        <v>118</v>
      </c>
      <c r="C21" s="23" t="s">
        <v>149</v>
      </c>
      <c r="D21" s="61" t="s">
        <v>150</v>
      </c>
      <c r="E21" s="62" t="s">
        <v>151</v>
      </c>
      <c r="F21" s="23" t="s">
        <v>152</v>
      </c>
      <c r="G21" s="26" t="e">
        <f aca="false">ROUND(3*$H$3,0)</f>
        <v>#VALUE!</v>
      </c>
      <c r="H21" s="25" t="e">
        <f aca="false">$C$3+G21</f>
        <v>#VALUE!</v>
      </c>
      <c r="I21" s="52"/>
      <c r="J21" s="53" t="n">
        <f aca="false">IF(I21="Complete",1,IF(I21="Skipped",1,IF(I21="Blocked",0.5,IF(I21="In Progress",0.25,0))))</f>
        <v>0</v>
      </c>
      <c r="K21" s="54"/>
      <c r="L21" s="55"/>
      <c r="M21" s="56"/>
      <c r="N21" s="57" t="str">
        <f aca="false">IF(M21="","",M21-H21)</f>
        <v/>
      </c>
      <c r="O21" s="58" t="str">
        <f aca="false">IF(M21="","",ABS(M21-H21)*24)</f>
        <v/>
      </c>
      <c r="P21" s="23"/>
      <c r="Q21" s="63" t="s">
        <v>153</v>
      </c>
      <c r="R21" s="63" t="s">
        <v>154</v>
      </c>
      <c r="S21" s="63" t="s">
        <v>155</v>
      </c>
    </row>
    <row r="22" customFormat="false" ht="36" hidden="false" customHeight="true" outlineLevel="0" collapsed="false">
      <c r="A22" s="46" t="n">
        <v>17</v>
      </c>
      <c r="B22" s="47" t="s">
        <v>156</v>
      </c>
      <c r="C22" s="46" t="s">
        <v>157</v>
      </c>
      <c r="D22" s="48" t="s">
        <v>158</v>
      </c>
      <c r="E22" s="49" t="s">
        <v>159</v>
      </c>
      <c r="F22" s="46" t="s">
        <v>64</v>
      </c>
      <c r="G22" s="50" t="e">
        <f aca="false">ROUND(4*$H$3,0)</f>
        <v>#VALUE!</v>
      </c>
      <c r="H22" s="51" t="e">
        <f aca="false">$C$3+G22</f>
        <v>#VALUE!</v>
      </c>
      <c r="I22" s="52"/>
      <c r="J22" s="53" t="n">
        <f aca="false">IF(I22="Complete",1,IF(I22="Skipped",1,IF(I22="Blocked",0.5,IF(I22="In Progress",0.25,0))))</f>
        <v>0</v>
      </c>
      <c r="K22" s="54"/>
      <c r="L22" s="55"/>
      <c r="M22" s="56"/>
      <c r="N22" s="57" t="str">
        <f aca="false">IF(M22="","",M22-H22)</f>
        <v/>
      </c>
      <c r="O22" s="58" t="str">
        <f aca="false">IF(M22="","",ABS(M22-H22)*24)</f>
        <v/>
      </c>
      <c r="P22" s="46"/>
      <c r="Q22" s="59" t="s">
        <v>160</v>
      </c>
      <c r="R22" s="59" t="s">
        <v>161</v>
      </c>
      <c r="S22" s="59" t="s">
        <v>162</v>
      </c>
    </row>
    <row r="23" customFormat="false" ht="36" hidden="false" customHeight="true" outlineLevel="0" collapsed="false">
      <c r="A23" s="23" t="n">
        <v>18</v>
      </c>
      <c r="B23" s="60" t="s">
        <v>156</v>
      </c>
      <c r="C23" s="23" t="s">
        <v>163</v>
      </c>
      <c r="D23" s="61" t="s">
        <v>164</v>
      </c>
      <c r="E23" s="62" t="s">
        <v>165</v>
      </c>
      <c r="F23" s="23" t="s">
        <v>64</v>
      </c>
      <c r="G23" s="26" t="e">
        <f aca="false">ROUND(4*$H$3,0)</f>
        <v>#VALUE!</v>
      </c>
      <c r="H23" s="25" t="e">
        <f aca="false">$C$3+G23</f>
        <v>#VALUE!</v>
      </c>
      <c r="I23" s="52"/>
      <c r="J23" s="53" t="n">
        <f aca="false">IF(I23="Complete",1,IF(I23="Skipped",1,IF(I23="Blocked",0.5,IF(I23="In Progress",0.25,0))))</f>
        <v>0</v>
      </c>
      <c r="K23" s="54"/>
      <c r="L23" s="55"/>
      <c r="M23" s="56"/>
      <c r="N23" s="57" t="str">
        <f aca="false">IF(M23="","",M23-H23)</f>
        <v/>
      </c>
      <c r="O23" s="58" t="str">
        <f aca="false">IF(M23="","",ABS(M23-H23)*24)</f>
        <v/>
      </c>
      <c r="P23" s="23"/>
      <c r="Q23" s="63" t="s">
        <v>166</v>
      </c>
      <c r="R23" s="63" t="s">
        <v>167</v>
      </c>
      <c r="S23" s="63"/>
    </row>
    <row r="24" customFormat="false" ht="36" hidden="false" customHeight="true" outlineLevel="0" collapsed="false">
      <c r="A24" s="11" t="n">
        <v>19</v>
      </c>
      <c r="B24" s="64" t="s">
        <v>156</v>
      </c>
      <c r="C24" s="11" t="s">
        <v>168</v>
      </c>
      <c r="D24" s="65" t="s">
        <v>169</v>
      </c>
      <c r="E24" s="66" t="s">
        <v>170</v>
      </c>
      <c r="F24" s="11" t="s">
        <v>64</v>
      </c>
      <c r="G24" s="17" t="e">
        <f aca="false">ROUND(4*$H$3,0)</f>
        <v>#VALUE!</v>
      </c>
      <c r="H24" s="16" t="e">
        <f aca="false">$C$3+G24</f>
        <v>#VALUE!</v>
      </c>
      <c r="I24" s="52"/>
      <c r="J24" s="53" t="n">
        <f aca="false">IF(I24="Complete",1,IF(I24="Skipped",1,IF(I24="Blocked",0.5,IF(I24="In Progress",0.25,0))))</f>
        <v>0</v>
      </c>
      <c r="K24" s="54"/>
      <c r="L24" s="55"/>
      <c r="M24" s="56"/>
      <c r="N24" s="57" t="str">
        <f aca="false">IF(M24="","",M24-H24)</f>
        <v/>
      </c>
      <c r="O24" s="58" t="str">
        <f aca="false">IF(M24="","",ABS(M24-H24)*24)</f>
        <v/>
      </c>
      <c r="P24" s="11"/>
      <c r="Q24" s="67" t="s">
        <v>171</v>
      </c>
      <c r="R24" s="67" t="s">
        <v>172</v>
      </c>
      <c r="S24" s="67" t="s">
        <v>173</v>
      </c>
    </row>
    <row r="25" customFormat="false" ht="36" hidden="false" customHeight="true" outlineLevel="0" collapsed="false">
      <c r="A25" s="23" t="n">
        <v>20</v>
      </c>
      <c r="B25" s="60" t="s">
        <v>156</v>
      </c>
      <c r="C25" s="23" t="s">
        <v>174</v>
      </c>
      <c r="D25" s="61" t="s">
        <v>175</v>
      </c>
      <c r="E25" s="62" t="s">
        <v>176</v>
      </c>
      <c r="F25" s="23" t="s">
        <v>64</v>
      </c>
      <c r="G25" s="26" t="e">
        <f aca="false">ROUND(4*$H$3,0)</f>
        <v>#VALUE!</v>
      </c>
      <c r="H25" s="25" t="e">
        <f aca="false">$C$3+G25</f>
        <v>#VALUE!</v>
      </c>
      <c r="I25" s="52"/>
      <c r="J25" s="53" t="n">
        <f aca="false">IF(I25="Complete",1,IF(I25="Skipped",1,IF(I25="Blocked",0.5,IF(I25="In Progress",0.25,0))))</f>
        <v>0</v>
      </c>
      <c r="K25" s="54"/>
      <c r="L25" s="55"/>
      <c r="M25" s="56"/>
      <c r="N25" s="57" t="str">
        <f aca="false">IF(M25="","",M25-H25)</f>
        <v/>
      </c>
      <c r="O25" s="58" t="str">
        <f aca="false">IF(M25="","",ABS(M25-H25)*24)</f>
        <v/>
      </c>
      <c r="P25" s="23"/>
      <c r="Q25" s="63" t="s">
        <v>177</v>
      </c>
      <c r="R25" s="63" t="s">
        <v>178</v>
      </c>
      <c r="S25" s="63" t="s">
        <v>179</v>
      </c>
    </row>
    <row r="26" customFormat="false" ht="36" hidden="false" customHeight="true" outlineLevel="0" collapsed="false">
      <c r="A26" s="11" t="n">
        <v>21</v>
      </c>
      <c r="B26" s="64" t="s">
        <v>156</v>
      </c>
      <c r="C26" s="11" t="s">
        <v>180</v>
      </c>
      <c r="D26" s="65" t="s">
        <v>181</v>
      </c>
      <c r="E26" s="66" t="s">
        <v>182</v>
      </c>
      <c r="F26" s="11" t="s">
        <v>64</v>
      </c>
      <c r="G26" s="17" t="e">
        <f aca="false">ROUND(4*$H$3,0)</f>
        <v>#VALUE!</v>
      </c>
      <c r="H26" s="16" t="e">
        <f aca="false">$C$3+G26</f>
        <v>#VALUE!</v>
      </c>
      <c r="I26" s="52"/>
      <c r="J26" s="53" t="n">
        <f aca="false">IF(I26="Complete",1,IF(I26="Skipped",1,IF(I26="Blocked",0.5,IF(I26="In Progress",0.25,0))))</f>
        <v>0</v>
      </c>
      <c r="K26" s="54"/>
      <c r="L26" s="55"/>
      <c r="M26" s="56"/>
      <c r="N26" s="57" t="str">
        <f aca="false">IF(M26="","",M26-H26)</f>
        <v/>
      </c>
      <c r="O26" s="58" t="str">
        <f aca="false">IF(M26="","",ABS(M26-H26)*24)</f>
        <v/>
      </c>
      <c r="P26" s="11"/>
      <c r="Q26" s="67" t="s">
        <v>183</v>
      </c>
      <c r="R26" s="67" t="s">
        <v>184</v>
      </c>
      <c r="S26" s="67" t="s">
        <v>185</v>
      </c>
    </row>
    <row r="27" customFormat="false" ht="36" hidden="false" customHeight="true" outlineLevel="0" collapsed="false">
      <c r="A27" s="23" t="n">
        <v>22</v>
      </c>
      <c r="B27" s="60" t="s">
        <v>156</v>
      </c>
      <c r="C27" s="23" t="s">
        <v>186</v>
      </c>
      <c r="D27" s="61" t="s">
        <v>187</v>
      </c>
      <c r="E27" s="62" t="s">
        <v>188</v>
      </c>
      <c r="F27" s="23" t="s">
        <v>64</v>
      </c>
      <c r="G27" s="26" t="e">
        <f aca="false">ROUND(4*$H$3,0)</f>
        <v>#VALUE!</v>
      </c>
      <c r="H27" s="25" t="e">
        <f aca="false">$C$3+G27</f>
        <v>#VALUE!</v>
      </c>
      <c r="I27" s="52"/>
      <c r="J27" s="53" t="n">
        <f aca="false">IF(I27="Complete",1,IF(I27="Skipped",1,IF(I27="Blocked",0.5,IF(I27="In Progress",0.25,0))))</f>
        <v>0</v>
      </c>
      <c r="K27" s="54"/>
      <c r="L27" s="55"/>
      <c r="M27" s="56"/>
      <c r="N27" s="57" t="str">
        <f aca="false">IF(M27="","",M27-H27)</f>
        <v/>
      </c>
      <c r="O27" s="58" t="str">
        <f aca="false">IF(M27="","",ABS(M27-H27)*24)</f>
        <v/>
      </c>
      <c r="P27" s="23"/>
      <c r="Q27" s="63" t="s">
        <v>189</v>
      </c>
      <c r="R27" s="63" t="s">
        <v>190</v>
      </c>
      <c r="S27" s="63" t="s">
        <v>191</v>
      </c>
    </row>
    <row r="28" customFormat="false" ht="36" hidden="false" customHeight="true" outlineLevel="0" collapsed="false">
      <c r="A28" s="11" t="n">
        <v>23</v>
      </c>
      <c r="B28" s="64" t="s">
        <v>156</v>
      </c>
      <c r="C28" s="11" t="s">
        <v>192</v>
      </c>
      <c r="D28" s="65" t="s">
        <v>193</v>
      </c>
      <c r="E28" s="66" t="s">
        <v>194</v>
      </c>
      <c r="F28" s="11" t="s">
        <v>64</v>
      </c>
      <c r="G28" s="17" t="e">
        <f aca="false">ROUND(5*$H$3,0)</f>
        <v>#VALUE!</v>
      </c>
      <c r="H28" s="16" t="e">
        <f aca="false">$C$3+G28</f>
        <v>#VALUE!</v>
      </c>
      <c r="I28" s="52"/>
      <c r="J28" s="53" t="n">
        <f aca="false">IF(I28="Complete",1,IF(I28="Skipped",1,IF(I28="Blocked",0.5,IF(I28="In Progress",0.25,0))))</f>
        <v>0</v>
      </c>
      <c r="K28" s="54"/>
      <c r="L28" s="55"/>
      <c r="M28" s="56"/>
      <c r="N28" s="57" t="str">
        <f aca="false">IF(M28="","",M28-H28)</f>
        <v/>
      </c>
      <c r="O28" s="58" t="str">
        <f aca="false">IF(M28="","",ABS(M28-H28)*24)</f>
        <v/>
      </c>
      <c r="P28" s="11"/>
      <c r="Q28" s="67" t="s">
        <v>195</v>
      </c>
      <c r="R28" s="67" t="s">
        <v>196</v>
      </c>
      <c r="S28" s="67" t="s">
        <v>197</v>
      </c>
    </row>
    <row r="29" customFormat="false" ht="36" hidden="false" customHeight="true" outlineLevel="0" collapsed="false">
      <c r="A29" s="23" t="n">
        <v>24</v>
      </c>
      <c r="B29" s="60" t="s">
        <v>156</v>
      </c>
      <c r="C29" s="23" t="s">
        <v>198</v>
      </c>
      <c r="D29" s="61" t="s">
        <v>199</v>
      </c>
      <c r="E29" s="62" t="s">
        <v>200</v>
      </c>
      <c r="F29" s="23" t="s">
        <v>64</v>
      </c>
      <c r="G29" s="26" t="e">
        <f aca="false">ROUND(5*$H$3,0)</f>
        <v>#VALUE!</v>
      </c>
      <c r="H29" s="25" t="e">
        <f aca="false">$C$3+G29</f>
        <v>#VALUE!</v>
      </c>
      <c r="I29" s="52"/>
      <c r="J29" s="53" t="n">
        <f aca="false">IF(I29="Complete",1,IF(I29="Skipped",1,IF(I29="Blocked",0.5,IF(I29="In Progress",0.25,0))))</f>
        <v>0</v>
      </c>
      <c r="K29" s="54"/>
      <c r="L29" s="55"/>
      <c r="M29" s="56"/>
      <c r="N29" s="57" t="str">
        <f aca="false">IF(M29="","",M29-H29)</f>
        <v/>
      </c>
      <c r="O29" s="58" t="str">
        <f aca="false">IF(M29="","",ABS(M29-H29)*24)</f>
        <v/>
      </c>
      <c r="P29" s="23"/>
      <c r="Q29" s="63" t="s">
        <v>201</v>
      </c>
      <c r="R29" s="63" t="s">
        <v>202</v>
      </c>
      <c r="S29" s="63" t="s">
        <v>203</v>
      </c>
    </row>
    <row r="30" customFormat="false" ht="36" hidden="false" customHeight="true" outlineLevel="0" collapsed="false">
      <c r="A30" s="11" t="n">
        <v>25</v>
      </c>
      <c r="B30" s="64" t="s">
        <v>156</v>
      </c>
      <c r="C30" s="11" t="s">
        <v>204</v>
      </c>
      <c r="D30" s="65" t="s">
        <v>205</v>
      </c>
      <c r="E30" s="66" t="s">
        <v>206</v>
      </c>
      <c r="F30" s="11" t="s">
        <v>64</v>
      </c>
      <c r="G30" s="17" t="e">
        <f aca="false">ROUND(5*$H$3,0)</f>
        <v>#VALUE!</v>
      </c>
      <c r="H30" s="16" t="e">
        <f aca="false">$C$3+G30</f>
        <v>#VALUE!</v>
      </c>
      <c r="I30" s="52"/>
      <c r="J30" s="53" t="n">
        <f aca="false">IF(I30="Complete",1,IF(I30="Skipped",1,IF(I30="Blocked",0.5,IF(I30="In Progress",0.25,0))))</f>
        <v>0</v>
      </c>
      <c r="K30" s="54"/>
      <c r="L30" s="55"/>
      <c r="M30" s="56"/>
      <c r="N30" s="57" t="str">
        <f aca="false">IF(M30="","",M30-H30)</f>
        <v/>
      </c>
      <c r="O30" s="58" t="str">
        <f aca="false">IF(M30="","",ABS(M30-H30)*24)</f>
        <v/>
      </c>
      <c r="P30" s="11"/>
      <c r="Q30" s="67" t="s">
        <v>207</v>
      </c>
      <c r="R30" s="67" t="s">
        <v>208</v>
      </c>
      <c r="S30" s="67" t="s">
        <v>209</v>
      </c>
    </row>
    <row r="31" customFormat="false" ht="36" hidden="false" customHeight="true" outlineLevel="0" collapsed="false">
      <c r="A31" s="46" t="n">
        <v>26</v>
      </c>
      <c r="B31" s="47" t="s">
        <v>210</v>
      </c>
      <c r="C31" s="46" t="s">
        <v>211</v>
      </c>
      <c r="D31" s="48" t="s">
        <v>212</v>
      </c>
      <c r="E31" s="49" t="s">
        <v>213</v>
      </c>
      <c r="F31" s="46" t="s">
        <v>214</v>
      </c>
      <c r="G31" s="50" t="e">
        <f aca="false">ROUND(6*$H$3,0)</f>
        <v>#VALUE!</v>
      </c>
      <c r="H31" s="51" t="e">
        <f aca="false">$C$3+G31</f>
        <v>#VALUE!</v>
      </c>
      <c r="I31" s="52"/>
      <c r="J31" s="53" t="n">
        <f aca="false">IF(I31="Complete",1,IF(I31="Skipped",1,IF(I31="Blocked",0.5,IF(I31="In Progress",0.25,0))))</f>
        <v>0</v>
      </c>
      <c r="K31" s="54"/>
      <c r="L31" s="55"/>
      <c r="M31" s="56"/>
      <c r="N31" s="57" t="str">
        <f aca="false">IF(M31="","",M31-H31)</f>
        <v/>
      </c>
      <c r="O31" s="58" t="str">
        <f aca="false">IF(M31="","",ABS(M31-H31)*24)</f>
        <v/>
      </c>
      <c r="P31" s="46"/>
      <c r="Q31" s="59" t="s">
        <v>215</v>
      </c>
      <c r="R31" s="59" t="s">
        <v>216</v>
      </c>
      <c r="S31" s="59" t="s">
        <v>217</v>
      </c>
    </row>
    <row r="32" customFormat="false" ht="36" hidden="false" customHeight="true" outlineLevel="0" collapsed="false">
      <c r="A32" s="11" t="n">
        <v>27</v>
      </c>
      <c r="B32" s="64" t="s">
        <v>210</v>
      </c>
      <c r="C32" s="11" t="s">
        <v>218</v>
      </c>
      <c r="D32" s="65" t="s">
        <v>219</v>
      </c>
      <c r="E32" s="66" t="s">
        <v>220</v>
      </c>
      <c r="F32" s="11" t="s">
        <v>214</v>
      </c>
      <c r="G32" s="17" t="e">
        <f aca="false">ROUND(6*$H$3,0)</f>
        <v>#VALUE!</v>
      </c>
      <c r="H32" s="16" t="e">
        <f aca="false">$C$3+G32</f>
        <v>#VALUE!</v>
      </c>
      <c r="I32" s="52"/>
      <c r="J32" s="53" t="n">
        <f aca="false">IF(I32="Complete",1,IF(I32="Skipped",1,IF(I32="Blocked",0.5,IF(I32="In Progress",0.25,0))))</f>
        <v>0</v>
      </c>
      <c r="K32" s="54"/>
      <c r="L32" s="55"/>
      <c r="M32" s="56"/>
      <c r="N32" s="57" t="str">
        <f aca="false">IF(M32="","",M32-H32)</f>
        <v/>
      </c>
      <c r="O32" s="58" t="str">
        <f aca="false">IF(M32="","",ABS(M32-H32)*24)</f>
        <v/>
      </c>
      <c r="P32" s="11"/>
      <c r="Q32" s="67" t="s">
        <v>221</v>
      </c>
      <c r="R32" s="67" t="s">
        <v>222</v>
      </c>
      <c r="S32" s="67" t="s">
        <v>223</v>
      </c>
    </row>
    <row r="33" customFormat="false" ht="36" hidden="false" customHeight="true" outlineLevel="0" collapsed="false">
      <c r="A33" s="23" t="n">
        <v>28</v>
      </c>
      <c r="B33" s="60" t="s">
        <v>210</v>
      </c>
      <c r="C33" s="23" t="s">
        <v>224</v>
      </c>
      <c r="D33" s="61" t="s">
        <v>225</v>
      </c>
      <c r="E33" s="62" t="s">
        <v>226</v>
      </c>
      <c r="F33" s="23" t="s">
        <v>64</v>
      </c>
      <c r="G33" s="26" t="e">
        <f aca="false">ROUND(7*$H$3,0)</f>
        <v>#VALUE!</v>
      </c>
      <c r="H33" s="25" t="e">
        <f aca="false">$C$3+G33</f>
        <v>#VALUE!</v>
      </c>
      <c r="I33" s="52"/>
      <c r="J33" s="53" t="n">
        <f aca="false">IF(I33="Complete",1,IF(I33="Skipped",1,IF(I33="Blocked",0.5,IF(I33="In Progress",0.25,0))))</f>
        <v>0</v>
      </c>
      <c r="K33" s="54"/>
      <c r="L33" s="55"/>
      <c r="M33" s="56"/>
      <c r="N33" s="57" t="str">
        <f aca="false">IF(M33="","",M33-H33)</f>
        <v/>
      </c>
      <c r="O33" s="58" t="str">
        <f aca="false">IF(M33="","",ABS(M33-H33)*24)</f>
        <v/>
      </c>
      <c r="P33" s="23"/>
      <c r="Q33" s="63" t="s">
        <v>227</v>
      </c>
      <c r="R33" s="63" t="s">
        <v>228</v>
      </c>
      <c r="S33" s="63" t="s">
        <v>229</v>
      </c>
    </row>
    <row r="34" customFormat="false" ht="36" hidden="false" customHeight="true" outlineLevel="0" collapsed="false">
      <c r="A34" s="11" t="n">
        <v>29</v>
      </c>
      <c r="B34" s="64" t="s">
        <v>210</v>
      </c>
      <c r="C34" s="11" t="s">
        <v>230</v>
      </c>
      <c r="D34" s="65" t="s">
        <v>231</v>
      </c>
      <c r="E34" s="66" t="s">
        <v>232</v>
      </c>
      <c r="F34" s="11" t="s">
        <v>214</v>
      </c>
      <c r="G34" s="17" t="e">
        <f aca="false">ROUND(8*$H$3,0)</f>
        <v>#VALUE!</v>
      </c>
      <c r="H34" s="16" t="e">
        <f aca="false">$C$3+G34</f>
        <v>#VALUE!</v>
      </c>
      <c r="I34" s="52"/>
      <c r="J34" s="53" t="n">
        <f aca="false">IF(I34="Complete",1,IF(I34="Skipped",1,IF(I34="Blocked",0.5,IF(I34="In Progress",0.25,0))))</f>
        <v>0</v>
      </c>
      <c r="K34" s="54"/>
      <c r="L34" s="55"/>
      <c r="M34" s="56"/>
      <c r="N34" s="57" t="str">
        <f aca="false">IF(M34="","",M34-H34)</f>
        <v/>
      </c>
      <c r="O34" s="58" t="str">
        <f aca="false">IF(M34="","",ABS(M34-H34)*24)</f>
        <v/>
      </c>
      <c r="P34" s="11"/>
      <c r="Q34" s="67" t="s">
        <v>233</v>
      </c>
      <c r="R34" s="67" t="s">
        <v>66</v>
      </c>
      <c r="S34" s="67" t="s">
        <v>234</v>
      </c>
    </row>
    <row r="35" customFormat="false" ht="36" hidden="false" customHeight="true" outlineLevel="0" collapsed="false">
      <c r="A35" s="23" t="n">
        <v>30</v>
      </c>
      <c r="B35" s="60" t="s">
        <v>210</v>
      </c>
      <c r="C35" s="23" t="s">
        <v>235</v>
      </c>
      <c r="D35" s="61" t="s">
        <v>236</v>
      </c>
      <c r="E35" s="62" t="s">
        <v>237</v>
      </c>
      <c r="F35" s="23" t="s">
        <v>114</v>
      </c>
      <c r="G35" s="26" t="e">
        <f aca="false">ROUND(8*$H$3,0)</f>
        <v>#VALUE!</v>
      </c>
      <c r="H35" s="25" t="e">
        <f aca="false">$C$3+G35</f>
        <v>#VALUE!</v>
      </c>
      <c r="I35" s="52"/>
      <c r="J35" s="53" t="n">
        <f aca="false">IF(I35="Complete",1,IF(I35="Skipped",1,IF(I35="Blocked",0.5,IF(I35="In Progress",0.25,0))))</f>
        <v>0</v>
      </c>
      <c r="K35" s="54"/>
      <c r="L35" s="55"/>
      <c r="M35" s="56"/>
      <c r="N35" s="57" t="str">
        <f aca="false">IF(M35="","",M35-H35)</f>
        <v/>
      </c>
      <c r="O35" s="58" t="str">
        <f aca="false">IF(M35="","",ABS(M35-H35)*24)</f>
        <v/>
      </c>
      <c r="P35" s="23"/>
      <c r="Q35" s="63" t="s">
        <v>238</v>
      </c>
      <c r="R35" s="63" t="s">
        <v>239</v>
      </c>
      <c r="S35" s="63"/>
    </row>
    <row r="36" customFormat="false" ht="36" hidden="false" customHeight="true" outlineLevel="0" collapsed="false">
      <c r="A36" s="46" t="n">
        <v>31</v>
      </c>
      <c r="B36" s="47" t="s">
        <v>240</v>
      </c>
      <c r="C36" s="46" t="s">
        <v>241</v>
      </c>
      <c r="D36" s="48" t="s">
        <v>242</v>
      </c>
      <c r="E36" s="49" t="s">
        <v>243</v>
      </c>
      <c r="F36" s="46" t="s">
        <v>64</v>
      </c>
      <c r="G36" s="50" t="e">
        <f aca="false">ROUND(9*$H$3,0)</f>
        <v>#VALUE!</v>
      </c>
      <c r="H36" s="51" t="e">
        <f aca="false">$C$3+G36</f>
        <v>#VALUE!</v>
      </c>
      <c r="I36" s="52"/>
      <c r="J36" s="53" t="n">
        <f aca="false">IF(I36="Complete",1,IF(I36="Skipped",1,IF(I36="Blocked",0.5,IF(I36="In Progress",0.25,0))))</f>
        <v>0</v>
      </c>
      <c r="K36" s="54"/>
      <c r="L36" s="55"/>
      <c r="M36" s="56"/>
      <c r="N36" s="57" t="str">
        <f aca="false">IF(M36="","",M36-H36)</f>
        <v/>
      </c>
      <c r="O36" s="58" t="str">
        <f aca="false">IF(M36="","",ABS(M36-H36)*24)</f>
        <v/>
      </c>
      <c r="P36" s="46"/>
      <c r="Q36" s="59" t="s">
        <v>244</v>
      </c>
      <c r="R36" s="59" t="s">
        <v>245</v>
      </c>
      <c r="S36" s="59" t="s">
        <v>246</v>
      </c>
    </row>
    <row r="37" customFormat="false" ht="36" hidden="false" customHeight="true" outlineLevel="0" collapsed="false">
      <c r="A37" s="23" t="n">
        <v>32</v>
      </c>
      <c r="B37" s="60" t="s">
        <v>240</v>
      </c>
      <c r="C37" s="23" t="s">
        <v>247</v>
      </c>
      <c r="D37" s="61" t="s">
        <v>248</v>
      </c>
      <c r="E37" s="62" t="s">
        <v>249</v>
      </c>
      <c r="F37" s="23" t="s">
        <v>114</v>
      </c>
      <c r="G37" s="26" t="e">
        <f aca="false">ROUND(10*$H$3,0)</f>
        <v>#VALUE!</v>
      </c>
      <c r="H37" s="25" t="e">
        <f aca="false">$C$3+G37</f>
        <v>#VALUE!</v>
      </c>
      <c r="I37" s="52"/>
      <c r="J37" s="53" t="n">
        <f aca="false">IF(I37="Complete",1,IF(I37="Skipped",1,IF(I37="Blocked",0.5,IF(I37="In Progress",0.25,0))))</f>
        <v>0</v>
      </c>
      <c r="K37" s="54"/>
      <c r="L37" s="55"/>
      <c r="M37" s="56"/>
      <c r="N37" s="57" t="str">
        <f aca="false">IF(M37="","",M37-H37)</f>
        <v/>
      </c>
      <c r="O37" s="58" t="str">
        <f aca="false">IF(M37="","",ABS(M37-H37)*24)</f>
        <v/>
      </c>
      <c r="P37" s="23"/>
      <c r="Q37" s="63" t="s">
        <v>250</v>
      </c>
      <c r="R37" s="63" t="s">
        <v>251</v>
      </c>
      <c r="S37" s="63"/>
    </row>
    <row r="38" customFormat="false" ht="36" hidden="false" customHeight="true" outlineLevel="0" collapsed="false">
      <c r="A38" s="11" t="n">
        <v>33</v>
      </c>
      <c r="B38" s="64" t="s">
        <v>240</v>
      </c>
      <c r="C38" s="11" t="s">
        <v>252</v>
      </c>
      <c r="D38" s="65" t="s">
        <v>253</v>
      </c>
      <c r="E38" s="66" t="s">
        <v>254</v>
      </c>
      <c r="F38" s="11" t="s">
        <v>152</v>
      </c>
      <c r="G38" s="17" t="e">
        <f aca="false">ROUND(10*$H$3,0)</f>
        <v>#VALUE!</v>
      </c>
      <c r="H38" s="16" t="e">
        <f aca="false">$C$3+G38</f>
        <v>#VALUE!</v>
      </c>
      <c r="I38" s="52"/>
      <c r="J38" s="53" t="n">
        <f aca="false">IF(I38="Complete",1,IF(I38="Skipped",1,IF(I38="Blocked",0.5,IF(I38="In Progress",0.25,0))))</f>
        <v>0</v>
      </c>
      <c r="K38" s="54"/>
      <c r="L38" s="55"/>
      <c r="M38" s="56"/>
      <c r="N38" s="57" t="str">
        <f aca="false">IF(M38="","",M38-H38)</f>
        <v/>
      </c>
      <c r="O38" s="58" t="str">
        <f aca="false">IF(M38="","",ABS(M38-H38)*24)</f>
        <v/>
      </c>
      <c r="P38" s="11"/>
      <c r="Q38" s="67" t="s">
        <v>255</v>
      </c>
      <c r="R38" s="67" t="s">
        <v>256</v>
      </c>
      <c r="S38" s="67" t="s">
        <v>257</v>
      </c>
    </row>
    <row r="39" customFormat="false" ht="36" hidden="false" customHeight="true" outlineLevel="0" collapsed="false">
      <c r="A39" s="23" t="n">
        <v>34</v>
      </c>
      <c r="B39" s="60" t="s">
        <v>240</v>
      </c>
      <c r="C39" s="23" t="s">
        <v>258</v>
      </c>
      <c r="D39" s="61" t="s">
        <v>259</v>
      </c>
      <c r="E39" s="62" t="s">
        <v>260</v>
      </c>
      <c r="F39" s="23" t="s">
        <v>64</v>
      </c>
      <c r="G39" s="26" t="e">
        <f aca="false">ROUND(10*$H$3,0)</f>
        <v>#VALUE!</v>
      </c>
      <c r="H39" s="25" t="e">
        <f aca="false">$C$3+G39</f>
        <v>#VALUE!</v>
      </c>
      <c r="I39" s="52"/>
      <c r="J39" s="53" t="n">
        <f aca="false">IF(I39="Complete",1,IF(I39="Skipped",1,IF(I39="Blocked",0.5,IF(I39="In Progress",0.25,0))))</f>
        <v>0</v>
      </c>
      <c r="K39" s="54"/>
      <c r="L39" s="55"/>
      <c r="M39" s="56"/>
      <c r="N39" s="57" t="str">
        <f aca="false">IF(M39="","",M39-H39)</f>
        <v/>
      </c>
      <c r="O39" s="58" t="str">
        <f aca="false">IF(M39="","",ABS(M39-H39)*24)</f>
        <v/>
      </c>
      <c r="P39" s="23"/>
      <c r="Q39" s="63" t="s">
        <v>261</v>
      </c>
      <c r="R39" s="63" t="s">
        <v>262</v>
      </c>
      <c r="S39" s="63"/>
    </row>
    <row r="40" customFormat="false" ht="36" hidden="false" customHeight="true" outlineLevel="0" collapsed="false">
      <c r="A40" s="46" t="n">
        <v>35</v>
      </c>
      <c r="B40" s="47" t="s">
        <v>263</v>
      </c>
      <c r="C40" s="46" t="s">
        <v>264</v>
      </c>
      <c r="D40" s="48" t="s">
        <v>265</v>
      </c>
      <c r="E40" s="49" t="s">
        <v>266</v>
      </c>
      <c r="F40" s="46" t="s">
        <v>64</v>
      </c>
      <c r="G40" s="50" t="e">
        <f aca="false">ROUND(10*$H$3,0)</f>
        <v>#VALUE!</v>
      </c>
      <c r="H40" s="51" t="e">
        <f aca="false">$C$3+G40</f>
        <v>#VALUE!</v>
      </c>
      <c r="I40" s="52"/>
      <c r="J40" s="53" t="n">
        <f aca="false">IF(I40="Complete",1,IF(I40="Skipped",1,IF(I40="Blocked",0.5,IF(I40="In Progress",0.25,0))))</f>
        <v>0</v>
      </c>
      <c r="K40" s="54"/>
      <c r="L40" s="55"/>
      <c r="M40" s="56"/>
      <c r="N40" s="57" t="str">
        <f aca="false">IF(M40="","",M40-H40)</f>
        <v/>
      </c>
      <c r="O40" s="58" t="str">
        <f aca="false">IF(M40="","",ABS(M40-H40)*24)</f>
        <v/>
      </c>
      <c r="P40" s="46"/>
      <c r="Q40" s="59" t="s">
        <v>267</v>
      </c>
      <c r="R40" s="59" t="s">
        <v>268</v>
      </c>
      <c r="S40" s="59" t="s">
        <v>269</v>
      </c>
    </row>
    <row r="41" customFormat="false" ht="36" hidden="false" customHeight="true" outlineLevel="0" collapsed="false">
      <c r="A41" s="46" t="n">
        <v>36</v>
      </c>
      <c r="B41" s="47" t="s">
        <v>270</v>
      </c>
      <c r="C41" s="46" t="s">
        <v>271</v>
      </c>
      <c r="D41" s="48" t="s">
        <v>272</v>
      </c>
      <c r="E41" s="49" t="s">
        <v>273</v>
      </c>
      <c r="F41" s="46" t="s">
        <v>214</v>
      </c>
      <c r="G41" s="50" t="e">
        <f aca="false">ROUND(11*$H$3,0)</f>
        <v>#VALUE!</v>
      </c>
      <c r="H41" s="51" t="e">
        <f aca="false">$C$3+G41</f>
        <v>#VALUE!</v>
      </c>
      <c r="I41" s="52"/>
      <c r="J41" s="53" t="n">
        <f aca="false">IF(I41="Complete",1,IF(I41="Skipped",1,IF(I41="Blocked",0.5,IF(I41="In Progress",0.25,0))))</f>
        <v>0</v>
      </c>
      <c r="K41" s="54"/>
      <c r="L41" s="55"/>
      <c r="M41" s="56"/>
      <c r="N41" s="57" t="str">
        <f aca="false">IF(M41="","",M41-H41)</f>
        <v/>
      </c>
      <c r="O41" s="58" t="str">
        <f aca="false">IF(M41="","",ABS(M41-H41)*24)</f>
        <v/>
      </c>
      <c r="P41" s="46"/>
      <c r="Q41" s="59" t="s">
        <v>274</v>
      </c>
      <c r="R41" s="59" t="s">
        <v>275</v>
      </c>
      <c r="S41" s="59" t="s">
        <v>276</v>
      </c>
    </row>
    <row r="42" customFormat="false" ht="36" hidden="false" customHeight="true" outlineLevel="0" collapsed="false">
      <c r="A42" s="11" t="n">
        <v>37</v>
      </c>
      <c r="B42" s="64" t="s">
        <v>270</v>
      </c>
      <c r="C42" s="11" t="s">
        <v>277</v>
      </c>
      <c r="D42" s="65" t="s">
        <v>278</v>
      </c>
      <c r="E42" s="66" t="s">
        <v>279</v>
      </c>
      <c r="F42" s="11" t="s">
        <v>64</v>
      </c>
      <c r="G42" s="17" t="e">
        <f aca="false">ROUND(11*$H$3,0)</f>
        <v>#VALUE!</v>
      </c>
      <c r="H42" s="16" t="e">
        <f aca="false">$C$3+G42</f>
        <v>#VALUE!</v>
      </c>
      <c r="I42" s="52"/>
      <c r="J42" s="53" t="n">
        <f aca="false">IF(I42="Complete",1,IF(I42="Skipped",1,IF(I42="Blocked",0.5,IF(I42="In Progress",0.25,0))))</f>
        <v>0</v>
      </c>
      <c r="K42" s="54"/>
      <c r="L42" s="55"/>
      <c r="M42" s="56"/>
      <c r="N42" s="57" t="str">
        <f aca="false">IF(M42="","",M42-H42)</f>
        <v/>
      </c>
      <c r="O42" s="58" t="str">
        <f aca="false">IF(M42="","",ABS(M42-H42)*24)</f>
        <v/>
      </c>
      <c r="P42" s="11"/>
      <c r="Q42" s="67" t="s">
        <v>280</v>
      </c>
      <c r="R42" s="67" t="s">
        <v>281</v>
      </c>
      <c r="S42" s="67" t="s">
        <v>282</v>
      </c>
    </row>
    <row r="43" customFormat="false" ht="36" hidden="false" customHeight="true" outlineLevel="0" collapsed="false">
      <c r="A43" s="23" t="n">
        <v>38</v>
      </c>
      <c r="B43" s="60" t="s">
        <v>270</v>
      </c>
      <c r="C43" s="23" t="s">
        <v>283</v>
      </c>
      <c r="D43" s="61" t="s">
        <v>284</v>
      </c>
      <c r="E43" s="62" t="s">
        <v>285</v>
      </c>
      <c r="F43" s="23" t="s">
        <v>114</v>
      </c>
      <c r="G43" s="26" t="e">
        <f aca="false">ROUND(11*$H$3,0)</f>
        <v>#VALUE!</v>
      </c>
      <c r="H43" s="25" t="e">
        <f aca="false">$C$3+G43</f>
        <v>#VALUE!</v>
      </c>
      <c r="I43" s="52"/>
      <c r="J43" s="53" t="n">
        <f aca="false">IF(I43="Complete",1,IF(I43="Skipped",1,IF(I43="Blocked",0.5,IF(I43="In Progress",0.25,0))))</f>
        <v>0</v>
      </c>
      <c r="K43" s="54"/>
      <c r="L43" s="55"/>
      <c r="M43" s="56"/>
      <c r="N43" s="57" t="str">
        <f aca="false">IF(M43="","",M43-H43)</f>
        <v/>
      </c>
      <c r="O43" s="58" t="str">
        <f aca="false">IF(M43="","",ABS(M43-H43)*24)</f>
        <v/>
      </c>
      <c r="P43" s="23"/>
      <c r="Q43" s="63" t="s">
        <v>286</v>
      </c>
      <c r="R43" s="63" t="s">
        <v>287</v>
      </c>
      <c r="S43" s="63"/>
    </row>
    <row r="44" customFormat="false" ht="36" hidden="false" customHeight="true" outlineLevel="0" collapsed="false">
      <c r="A44" s="46" t="n">
        <v>39</v>
      </c>
      <c r="B44" s="47" t="s">
        <v>288</v>
      </c>
      <c r="C44" s="46" t="s">
        <v>289</v>
      </c>
      <c r="D44" s="48" t="s">
        <v>290</v>
      </c>
      <c r="E44" s="49" t="s">
        <v>291</v>
      </c>
      <c r="F44" s="46" t="s">
        <v>64</v>
      </c>
      <c r="G44" s="50" t="e">
        <f aca="false">ROUND(12*$H$3,0)</f>
        <v>#VALUE!</v>
      </c>
      <c r="H44" s="51" t="e">
        <f aca="false">$C$3+G44</f>
        <v>#VALUE!</v>
      </c>
      <c r="I44" s="52"/>
      <c r="J44" s="53" t="n">
        <f aca="false">IF(I44="Complete",1,IF(I44="Skipped",1,IF(I44="Blocked",0.5,IF(I44="In Progress",0.25,0))))</f>
        <v>0</v>
      </c>
      <c r="K44" s="54"/>
      <c r="L44" s="55"/>
      <c r="M44" s="56"/>
      <c r="N44" s="57" t="str">
        <f aca="false">IF(M44="","",M44-H44)</f>
        <v/>
      </c>
      <c r="O44" s="58" t="str">
        <f aca="false">IF(M44="","",ABS(M44-H44)*24)</f>
        <v/>
      </c>
      <c r="P44" s="46"/>
      <c r="Q44" s="59" t="s">
        <v>292</v>
      </c>
      <c r="R44" s="59" t="s">
        <v>293</v>
      </c>
      <c r="S44" s="59" t="s">
        <v>294</v>
      </c>
    </row>
    <row r="45" customFormat="false" ht="36" hidden="false" customHeight="true" outlineLevel="0" collapsed="false">
      <c r="A45" s="23" t="n">
        <v>40</v>
      </c>
      <c r="B45" s="60" t="s">
        <v>288</v>
      </c>
      <c r="C45" s="23" t="s">
        <v>295</v>
      </c>
      <c r="D45" s="61" t="s">
        <v>296</v>
      </c>
      <c r="E45" s="62" t="s">
        <v>297</v>
      </c>
      <c r="F45" s="23" t="s">
        <v>64</v>
      </c>
      <c r="G45" s="26" t="e">
        <f aca="false">ROUND(12*$H$3,0)</f>
        <v>#VALUE!</v>
      </c>
      <c r="H45" s="25" t="e">
        <f aca="false">$C$3+G45</f>
        <v>#VALUE!</v>
      </c>
      <c r="I45" s="52"/>
      <c r="J45" s="53" t="n">
        <f aca="false">IF(I45="Complete",1,IF(I45="Skipped",1,IF(I45="Blocked",0.5,IF(I45="In Progress",0.25,0))))</f>
        <v>0</v>
      </c>
      <c r="K45" s="54"/>
      <c r="L45" s="55"/>
      <c r="M45" s="56"/>
      <c r="N45" s="57" t="str">
        <f aca="false">IF(M45="","",M45-H45)</f>
        <v/>
      </c>
      <c r="O45" s="58" t="str">
        <f aca="false">IF(M45="","",ABS(M45-H45)*24)</f>
        <v/>
      </c>
      <c r="P45" s="23"/>
      <c r="Q45" s="63" t="s">
        <v>298</v>
      </c>
      <c r="R45" s="63" t="s">
        <v>299</v>
      </c>
      <c r="S45" s="63" t="s">
        <v>300</v>
      </c>
    </row>
    <row r="46" customFormat="false" ht="36" hidden="false" customHeight="true" outlineLevel="0" collapsed="false">
      <c r="A46" s="11" t="n">
        <v>41</v>
      </c>
      <c r="B46" s="64" t="s">
        <v>288</v>
      </c>
      <c r="C46" s="11" t="s">
        <v>301</v>
      </c>
      <c r="D46" s="65" t="s">
        <v>302</v>
      </c>
      <c r="E46" s="66" t="s">
        <v>303</v>
      </c>
      <c r="F46" s="11" t="s">
        <v>114</v>
      </c>
      <c r="G46" s="17" t="e">
        <f aca="false">ROUND(12*$H$3,0)</f>
        <v>#VALUE!</v>
      </c>
      <c r="H46" s="16" t="e">
        <f aca="false">$C$3+G46</f>
        <v>#VALUE!</v>
      </c>
      <c r="I46" s="52"/>
      <c r="J46" s="53" t="n">
        <f aca="false">IF(I46="Complete",1,IF(I46="Skipped",1,IF(I46="Blocked",0.5,IF(I46="In Progress",0.25,0))))</f>
        <v>0</v>
      </c>
      <c r="K46" s="54"/>
      <c r="L46" s="55"/>
      <c r="M46" s="56"/>
      <c r="N46" s="57" t="str">
        <f aca="false">IF(M46="","",M46-H46)</f>
        <v/>
      </c>
      <c r="O46" s="58" t="str">
        <f aca="false">IF(M46="","",ABS(M46-H46)*24)</f>
        <v/>
      </c>
      <c r="P46" s="11"/>
      <c r="Q46" s="67" t="s">
        <v>304</v>
      </c>
      <c r="R46" s="67" t="s">
        <v>305</v>
      </c>
      <c r="S46" s="67" t="s">
        <v>306</v>
      </c>
    </row>
    <row r="47" customFormat="false" ht="36" hidden="false" customHeight="true" outlineLevel="0" collapsed="false">
      <c r="A47" s="23" t="n">
        <v>42</v>
      </c>
      <c r="B47" s="60" t="s">
        <v>288</v>
      </c>
      <c r="C47" s="23" t="s">
        <v>307</v>
      </c>
      <c r="D47" s="61" t="s">
        <v>308</v>
      </c>
      <c r="E47" s="62" t="s">
        <v>309</v>
      </c>
      <c r="F47" s="23" t="s">
        <v>64</v>
      </c>
      <c r="G47" s="26" t="e">
        <f aca="false">ROUND(13*$H$3,0)</f>
        <v>#VALUE!</v>
      </c>
      <c r="H47" s="25" t="e">
        <f aca="false">$C$3+G47</f>
        <v>#VALUE!</v>
      </c>
      <c r="I47" s="52"/>
      <c r="J47" s="53" t="n">
        <f aca="false">IF(I47="Complete",1,IF(I47="Skipped",1,IF(I47="Blocked",0.5,IF(I47="In Progress",0.25,0))))</f>
        <v>0</v>
      </c>
      <c r="K47" s="54"/>
      <c r="L47" s="55"/>
      <c r="M47" s="56"/>
      <c r="N47" s="57" t="str">
        <f aca="false">IF(M47="","",M47-H47)</f>
        <v/>
      </c>
      <c r="O47" s="58" t="str">
        <f aca="false">IF(M47="","",ABS(M47-H47)*24)</f>
        <v/>
      </c>
      <c r="P47" s="23"/>
      <c r="Q47" s="63" t="s">
        <v>310</v>
      </c>
      <c r="R47" s="63" t="s">
        <v>311</v>
      </c>
      <c r="S47" s="63" t="s">
        <v>312</v>
      </c>
    </row>
    <row r="48" customFormat="false" ht="36" hidden="false" customHeight="true" outlineLevel="0" collapsed="false">
      <c r="A48" s="11" t="n">
        <v>43</v>
      </c>
      <c r="B48" s="64" t="s">
        <v>288</v>
      </c>
      <c r="C48" s="11" t="s">
        <v>313</v>
      </c>
      <c r="D48" s="65" t="s">
        <v>314</v>
      </c>
      <c r="E48" s="66" t="s">
        <v>315</v>
      </c>
      <c r="F48" s="11" t="s">
        <v>214</v>
      </c>
      <c r="G48" s="17" t="e">
        <f aca="false">ROUND(13*$H$3,0)</f>
        <v>#VALUE!</v>
      </c>
      <c r="H48" s="16" t="e">
        <f aca="false">$C$3+G48</f>
        <v>#VALUE!</v>
      </c>
      <c r="I48" s="52"/>
      <c r="J48" s="53" t="n">
        <f aca="false">IF(I48="Complete",1,IF(I48="Skipped",1,IF(I48="Blocked",0.5,IF(I48="In Progress",0.25,0))))</f>
        <v>0</v>
      </c>
      <c r="K48" s="54"/>
      <c r="L48" s="55"/>
      <c r="M48" s="56"/>
      <c r="N48" s="57" t="str">
        <f aca="false">IF(M48="","",M48-H48)</f>
        <v/>
      </c>
      <c r="O48" s="58" t="str">
        <f aca="false">IF(M48="","",ABS(M48-H48)*24)</f>
        <v/>
      </c>
      <c r="P48" s="11"/>
      <c r="Q48" s="67" t="s">
        <v>316</v>
      </c>
      <c r="R48" s="67" t="s">
        <v>317</v>
      </c>
      <c r="S48" s="67" t="s">
        <v>318</v>
      </c>
    </row>
    <row r="49" customFormat="false" ht="36" hidden="false" customHeight="true" outlineLevel="0" collapsed="false">
      <c r="A49" s="23" t="n">
        <v>44</v>
      </c>
      <c r="B49" s="60" t="s">
        <v>288</v>
      </c>
      <c r="C49" s="23" t="s">
        <v>319</v>
      </c>
      <c r="D49" s="61" t="s">
        <v>320</v>
      </c>
      <c r="E49" s="62" t="s">
        <v>321</v>
      </c>
      <c r="F49" s="23" t="s">
        <v>64</v>
      </c>
      <c r="G49" s="26" t="e">
        <f aca="false">ROUND(14*$H$3,0)</f>
        <v>#VALUE!</v>
      </c>
      <c r="H49" s="25" t="e">
        <f aca="false">$C$3+G49</f>
        <v>#VALUE!</v>
      </c>
      <c r="I49" s="52"/>
      <c r="J49" s="53" t="n">
        <f aca="false">IF(I49="Complete",1,IF(I49="Skipped",1,IF(I49="Blocked",0.5,IF(I49="In Progress",0.25,0))))</f>
        <v>0</v>
      </c>
      <c r="K49" s="54"/>
      <c r="L49" s="55"/>
      <c r="M49" s="56"/>
      <c r="N49" s="57" t="str">
        <f aca="false">IF(M49="","",M49-H49)</f>
        <v/>
      </c>
      <c r="O49" s="58" t="str">
        <f aca="false">IF(M49="","",ABS(M49-H49)*24)</f>
        <v/>
      </c>
      <c r="P49" s="23"/>
      <c r="Q49" s="63" t="s">
        <v>322</v>
      </c>
      <c r="R49" s="63" t="s">
        <v>323</v>
      </c>
      <c r="S49" s="63" t="s">
        <v>324</v>
      </c>
    </row>
    <row r="50" customFormat="false" ht="36" hidden="false" customHeight="true" outlineLevel="0" collapsed="false">
      <c r="A50" s="11" t="n">
        <v>45</v>
      </c>
      <c r="B50" s="64" t="s">
        <v>288</v>
      </c>
      <c r="C50" s="11" t="s">
        <v>325</v>
      </c>
      <c r="D50" s="65" t="s">
        <v>326</v>
      </c>
      <c r="E50" s="66" t="s">
        <v>327</v>
      </c>
      <c r="F50" s="11" t="s">
        <v>64</v>
      </c>
      <c r="G50" s="17" t="e">
        <f aca="false">ROUND(14*$H$3,0)</f>
        <v>#VALUE!</v>
      </c>
      <c r="H50" s="16" t="e">
        <f aca="false">$C$3+G50</f>
        <v>#VALUE!</v>
      </c>
      <c r="I50" s="52"/>
      <c r="J50" s="53" t="n">
        <f aca="false">IF(I50="Complete",1,IF(I50="Skipped",1,IF(I50="Blocked",0.5,IF(I50="In Progress",0.25,0))))</f>
        <v>0</v>
      </c>
      <c r="K50" s="54"/>
      <c r="L50" s="55"/>
      <c r="M50" s="56"/>
      <c r="N50" s="57" t="str">
        <f aca="false">IF(M50="","",M50-H50)</f>
        <v/>
      </c>
      <c r="O50" s="58" t="str">
        <f aca="false">IF(M50="","",ABS(M50-H50)*24)</f>
        <v/>
      </c>
      <c r="P50" s="11"/>
      <c r="Q50" s="67" t="s">
        <v>328</v>
      </c>
      <c r="R50" s="67" t="s">
        <v>66</v>
      </c>
      <c r="S50" s="67" t="s">
        <v>329</v>
      </c>
    </row>
    <row r="51" customFormat="false" ht="36" hidden="false" customHeight="true" outlineLevel="0" collapsed="false">
      <c r="A51" s="23" t="n">
        <v>46</v>
      </c>
      <c r="B51" s="60" t="s">
        <v>288</v>
      </c>
      <c r="C51" s="23" t="s">
        <v>330</v>
      </c>
      <c r="D51" s="61" t="s">
        <v>331</v>
      </c>
      <c r="E51" s="62" t="s">
        <v>332</v>
      </c>
      <c r="F51" s="23" t="s">
        <v>114</v>
      </c>
      <c r="G51" s="26" t="e">
        <f aca="false">ROUND(14*$H$3,0)</f>
        <v>#VALUE!</v>
      </c>
      <c r="H51" s="25" t="e">
        <f aca="false">$C$3+G51</f>
        <v>#VALUE!</v>
      </c>
      <c r="I51" s="52"/>
      <c r="J51" s="53" t="n">
        <f aca="false">IF(I51="Complete",1,IF(I51="Skipped",1,IF(I51="Blocked",0.5,IF(I51="In Progress",0.25,0))))</f>
        <v>0</v>
      </c>
      <c r="K51" s="54"/>
      <c r="L51" s="55"/>
      <c r="M51" s="56"/>
      <c r="N51" s="57" t="str">
        <f aca="false">IF(M51="","",M51-H51)</f>
        <v/>
      </c>
      <c r="O51" s="58" t="str">
        <f aca="false">IF(M51="","",ABS(M51-H51)*24)</f>
        <v/>
      </c>
      <c r="P51" s="23"/>
      <c r="Q51" s="63" t="s">
        <v>333</v>
      </c>
      <c r="R51" s="63" t="s">
        <v>116</v>
      </c>
      <c r="S51" s="63" t="s">
        <v>334</v>
      </c>
    </row>
    <row r="53" customFormat="false" ht="15" hidden="false" customHeight="true" outlineLevel="0" collapsed="false">
      <c r="A53" s="9" t="s">
        <v>335</v>
      </c>
      <c r="B53" s="9"/>
      <c r="C53" s="9"/>
      <c r="D53" s="9"/>
      <c r="E53" s="9"/>
      <c r="F53" s="9"/>
      <c r="G53" s="31"/>
      <c r="H53" s="31"/>
      <c r="I53" s="68" t="s">
        <v>336</v>
      </c>
      <c r="J53" s="69" t="n">
        <f aca="false">AVERAGE(J6:J51)</f>
        <v>0</v>
      </c>
      <c r="K53" s="31"/>
      <c r="L53" s="68" t="s">
        <v>337</v>
      </c>
      <c r="M53" s="9" t="n">
        <f aca="false">SUMPRODUCT((M6:M51&lt;&gt;"")*1)</f>
        <v>0</v>
      </c>
      <c r="N53" s="31"/>
      <c r="O53" s="33" t="n">
        <f aca="false">SUM(O6:O51)</f>
        <v>0</v>
      </c>
      <c r="P53" s="31"/>
      <c r="Q53" s="31"/>
      <c r="R53" s="31"/>
      <c r="S53" s="31"/>
    </row>
    <row r="54" customFormat="false" ht="15" hidden="false" customHeight="false" outlineLevel="0" collapsed="false">
      <c r="M54" s="70" t="s">
        <v>338</v>
      </c>
      <c r="N54" s="71" t="str">
        <f aca="false">IFERROR(AVERAGE(N6:N51),"")</f>
        <v/>
      </c>
    </row>
    <row r="55" customFormat="false" ht="15" hidden="false" customHeight="false" outlineLevel="0" collapsed="false">
      <c r="M55" s="70" t="s">
        <v>339</v>
      </c>
      <c r="N55" s="72" t="n">
        <f aca="false">IFERROR(MAX(N6:N51),"")</f>
        <v>0</v>
      </c>
    </row>
  </sheetData>
  <autoFilter ref="A5:S5"/>
  <mergeCells count="5">
    <mergeCell ref="A1:S1"/>
    <mergeCell ref="A3:B3"/>
    <mergeCell ref="E3:F3"/>
    <mergeCell ref="I3:J3"/>
    <mergeCell ref="A53:F53"/>
  </mergeCells>
  <conditionalFormatting sqref="I6:I51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0">
      <formula>"Skipped"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2">
      <formula>"In Progress"</formula>
    </cfRule>
  </conditionalFormatting>
  <conditionalFormatting sqref="J6:J51">
    <cfRule type="expression" priority="6" aboveAverage="0" equalAverage="0" bottom="0" percent="0" rank="0" text="" dxfId="14">
      <formula>$J6=1</formula>
    </cfRule>
    <cfRule type="expression" priority="7" aboveAverage="0" equalAverage="0" bottom="0" percent="0" rank="0" text="" dxfId="15">
      <formula>$J6&gt;=0.5</formula>
    </cfRule>
    <cfRule type="expression" priority="8" aboveAverage="0" equalAverage="0" bottom="0" percent="0" rank="0" text="" dxfId="16">
      <formula>$J6&gt;=0.25</formula>
    </cfRule>
  </conditionalFormatting>
  <conditionalFormatting sqref="K6:K51">
    <cfRule type="expression" priority="9" aboveAverage="0" equalAverage="0" bottom="0" percent="0" rank="0" text="" dxfId="17">
      <formula>AND($I6="Complete",$K6="")</formula>
    </cfRule>
    <cfRule type="expression" priority="10" aboveAverage="0" equalAverage="0" bottom="0" percent="0" rank="0" text="" dxfId="14">
      <formula>AND(OR($I6="Complete",$I6="Skipped"),$K6&lt;&gt;"")</formula>
    </cfRule>
  </conditionalFormatting>
  <conditionalFormatting sqref="L6:L51">
    <cfRule type="expression" priority="11" aboveAverage="0" equalAverage="0" bottom="0" percent="0" rank="0" text="" dxfId="17">
      <formula>AND($I6="Complete",$L6="")</formula>
    </cfRule>
    <cfRule type="expression" priority="12" aboveAverage="0" equalAverage="0" bottom="0" percent="0" rank="0" text="" dxfId="18">
      <formula>AND($I6="In Progress",$L6="")</formula>
    </cfRule>
  </conditionalFormatting>
  <conditionalFormatting sqref="M6:M51">
    <cfRule type="expression" priority="13" aboveAverage="0" equalAverage="0" bottom="0" percent="0" rank="0" text="" dxfId="17">
      <formula>AND($I6="Complete",$M6="")</formula>
    </cfRule>
    <cfRule type="expression" priority="14" aboveAverage="0" equalAverage="0" bottom="0" percent="0" rank="0" text="" dxfId="14">
      <formula>AND($I6="Complete",$M6&lt;&gt;"")</formula>
    </cfRule>
  </conditionalFormatting>
  <conditionalFormatting sqref="A6:S51">
    <cfRule type="expression" priority="15" aboveAverage="0" equalAverage="0" bottom="0" percent="0" rank="0" text="" dxfId="19">
      <formula>AND($M6&lt;&gt;"",$N6&gt;=5)</formula>
    </cfRule>
    <cfRule type="expression" priority="16" aboveAverage="0" equalAverage="0" bottom="0" percent="0" rank="0" text="" dxfId="19">
      <formula>AND($M6&lt;&gt;"",$N6&gt;=4)</formula>
    </cfRule>
    <cfRule type="expression" priority="17" aboveAverage="0" equalAverage="0" bottom="0" percent="0" rank="0" text="" dxfId="20">
      <formula>AND($M6&lt;&gt;"",$N6&gt;=3)</formula>
    </cfRule>
    <cfRule type="expression" priority="18" aboveAverage="0" equalAverage="0" bottom="0" percent="0" rank="0" text="" dxfId="20">
      <formula>AND($M6&lt;&gt;"",$N6&gt;=2)</formula>
    </cfRule>
    <cfRule type="expression" priority="19" aboveAverage="0" equalAverage="0" bottom="0" percent="0" rank="0" text="" dxfId="21">
      <formula>AND($M6&lt;&gt;"",$N6&gt;=1)</formula>
    </cfRule>
    <cfRule type="expression" priority="20" aboveAverage="0" equalAverage="0" bottom="0" percent="0" rank="0" text="" dxfId="22">
      <formula>AND($M6&lt;&gt;"",$N6&lt;=0)</formula>
    </cfRule>
  </conditionalFormatting>
  <conditionalFormatting sqref="N6:N51">
    <cfRule type="expression" priority="21" aboveAverage="0" equalAverage="0" bottom="0" percent="0" rank="0" text="" dxfId="23">
      <formula>AND($M6&lt;&gt;"",$N6&gt;=5)</formula>
    </cfRule>
    <cfRule type="expression" priority="22" aboveAverage="0" equalAverage="0" bottom="0" percent="0" rank="0" text="" dxfId="24">
      <formula>AND($M6&lt;&gt;"",$N6&gt;=3)</formula>
    </cfRule>
    <cfRule type="expression" priority="23" aboveAverage="0" equalAverage="0" bottom="0" percent="0" rank="0" text="" dxfId="25">
      <formula>AND($M6&lt;&gt;"",$N6&gt;=1)</formula>
    </cfRule>
    <cfRule type="expression" priority="24" aboveAverage="0" equalAverage="0" bottom="0" percent="0" rank="0" text="" dxfId="26">
      <formula>AND($M6&lt;&gt;"",$N6&lt;=0)</formula>
    </cfRule>
  </conditionalFormatting>
  <dataValidations count="3">
    <dataValidation allowBlank="true" errorStyle="stop" operator="between" prompt="Complete needs: sign-off name + report link + completed date" promptTitle="Status" showDropDown="false" showErrorMessage="false" showInputMessage="true" sqref="I6:I51" type="list">
      <formula1>"Not Started,In Progress,Blocked,Complete,Skipped"</formula1>
      <formula2>0</formula2>
    </dataValidation>
    <dataValidation allowBlank="true" errorStyle="stop" operator="between" prompt="Select team member" promptTitle="Sign Off" showDropDown="false" showErrorMessage="false" showInputMessage="true" sqref="K6:K51" type="list">
      <formula1>TeamMembers</formula1>
      <formula2>0</formula2>
    </dataValidation>
    <dataValidation allowBlank="true" error="Enter a valid date (YYYY-MM-DD)" errorStyle="stop" errorTitle="Invalid Date" operator="greaterThan" prompt="Type the completion date (YYYY-MM-DD)" promptTitle="Completed Date" showDropDown="false" showErrorMessage="true" showInputMessage="true" sqref="M6:M51" type="date">
      <formula1>2020-1-1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E"/>
    <pageSetUpPr fitToPage="tru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4" min="14" style="0" width="7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46"/>
    <col collapsed="false" customWidth="true" hidden="false" outlineLevel="0" max="19" min="18" style="0" width="38"/>
  </cols>
  <sheetData>
    <row r="1" customFormat="false" ht="17.35" hidden="false" customHeight="false" outlineLevel="0" collapsed="false">
      <c r="A1" s="1" t="str">
        <f aca="false">IF(Config!B14&lt;&gt;"",Config!B14&amp;" — DNS, Certificate &amp; SSO Migration Runbook","Project 9 — Assign name on Config sheet")</f>
        <v>Project 9 — Assign name on Config sheet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27.75" hidden="false" customHeight="true" outlineLevel="0" collapsed="false">
      <c r="A3" s="35" t="s">
        <v>40</v>
      </c>
      <c r="B3" s="35"/>
      <c r="C3" s="36" t="n">
        <f aca="false">Config!C14</f>
        <v>0</v>
      </c>
      <c r="D3" s="35" t="s">
        <v>41</v>
      </c>
      <c r="E3" s="37" t="n">
        <f aca="false">Config!D14</f>
        <v>0</v>
      </c>
      <c r="F3" s="37"/>
      <c r="G3" s="35" t="s">
        <v>42</v>
      </c>
      <c r="H3" s="38" t="str">
        <f aca="false">Config!E14</f>
        <v/>
      </c>
      <c r="I3" s="35" t="s">
        <v>43</v>
      </c>
      <c r="J3" s="35"/>
      <c r="K3" s="36" t="str">
        <f aca="false">Config!F14</f>
        <v/>
      </c>
      <c r="L3" s="35" t="s">
        <v>44</v>
      </c>
      <c r="M3" s="39" t="str">
        <f aca="false">Config!G14</f>
        <v/>
      </c>
      <c r="N3" s="40"/>
      <c r="O3" s="40"/>
      <c r="P3" s="40"/>
      <c r="Q3" s="40"/>
      <c r="R3" s="40"/>
      <c r="S3" s="40"/>
    </row>
    <row r="5" customFormat="false" ht="35.05" hidden="false" customHeight="false" outlineLevel="0" collapsed="false">
      <c r="A5" s="9" t="s">
        <v>10</v>
      </c>
      <c r="B5" s="9" t="s">
        <v>45</v>
      </c>
      <c r="C5" s="9" t="s">
        <v>46</v>
      </c>
      <c r="D5" s="9" t="s">
        <v>47</v>
      </c>
      <c r="E5" s="9" t="s">
        <v>48</v>
      </c>
      <c r="F5" s="9" t="s">
        <v>49</v>
      </c>
      <c r="G5" s="9" t="s">
        <v>50</v>
      </c>
      <c r="H5" s="9" t="s">
        <v>51</v>
      </c>
      <c r="I5" s="41" t="s">
        <v>20</v>
      </c>
      <c r="J5" s="42" t="s">
        <v>17</v>
      </c>
      <c r="K5" s="43" t="s">
        <v>52</v>
      </c>
      <c r="L5" s="44" t="s">
        <v>53</v>
      </c>
      <c r="M5" s="45" t="s">
        <v>18</v>
      </c>
      <c r="N5" s="9" t="s">
        <v>54</v>
      </c>
      <c r="O5" s="9" t="s">
        <v>55</v>
      </c>
      <c r="P5" s="9" t="s">
        <v>56</v>
      </c>
      <c r="Q5" s="9" t="s">
        <v>57</v>
      </c>
      <c r="R5" s="9" t="s">
        <v>58</v>
      </c>
      <c r="S5" s="9" t="s">
        <v>59</v>
      </c>
    </row>
    <row r="6" customFormat="false" ht="36" hidden="false" customHeight="true" outlineLevel="0" collapsed="false">
      <c r="A6" s="46" t="n">
        <v>1</v>
      </c>
      <c r="B6" s="47" t="s">
        <v>60</v>
      </c>
      <c r="C6" s="46" t="s">
        <v>61</v>
      </c>
      <c r="D6" s="48" t="s">
        <v>62</v>
      </c>
      <c r="E6" s="49" t="s">
        <v>63</v>
      </c>
      <c r="F6" s="46" t="s">
        <v>64</v>
      </c>
      <c r="G6" s="50" t="e">
        <f aca="false">ROUND(0*$H$3,0)</f>
        <v>#VALUE!</v>
      </c>
      <c r="H6" s="51" t="e">
        <f aca="false">$C$3+G6</f>
        <v>#VALUE!</v>
      </c>
      <c r="I6" s="52"/>
      <c r="J6" s="53" t="n">
        <f aca="false">IF(I6="Complete",1,IF(I6="Skipped",1,IF(I6="Blocked",0.5,IF(I6="In Progress",0.25,0))))</f>
        <v>0</v>
      </c>
      <c r="K6" s="54"/>
      <c r="L6" s="55"/>
      <c r="M6" s="56"/>
      <c r="N6" s="57" t="str">
        <f aca="false">IF(M6="","",M6-H6)</f>
        <v/>
      </c>
      <c r="O6" s="58" t="str">
        <f aca="false">IF(M6="","",ABS(M6-H6)*24)</f>
        <v/>
      </c>
      <c r="P6" s="46"/>
      <c r="Q6" s="59" t="s">
        <v>65</v>
      </c>
      <c r="R6" s="59" t="s">
        <v>66</v>
      </c>
      <c r="S6" s="59" t="s">
        <v>67</v>
      </c>
    </row>
    <row r="7" customFormat="false" ht="36" hidden="false" customHeight="true" outlineLevel="0" collapsed="false">
      <c r="A7" s="23" t="n">
        <v>2</v>
      </c>
      <c r="B7" s="60" t="s">
        <v>60</v>
      </c>
      <c r="C7" s="23" t="s">
        <v>68</v>
      </c>
      <c r="D7" s="61" t="s">
        <v>69</v>
      </c>
      <c r="E7" s="62" t="s">
        <v>70</v>
      </c>
      <c r="F7" s="23" t="s">
        <v>64</v>
      </c>
      <c r="G7" s="26" t="e">
        <f aca="false">ROUND(0*$H$3,0)</f>
        <v>#VALUE!</v>
      </c>
      <c r="H7" s="25" t="e">
        <f aca="false">$C$3+G7</f>
        <v>#VALUE!</v>
      </c>
      <c r="I7" s="52"/>
      <c r="J7" s="53" t="n">
        <f aca="false">IF(I7="Complete",1,IF(I7="Skipped",1,IF(I7="Blocked",0.5,IF(I7="In Progress",0.25,0))))</f>
        <v>0</v>
      </c>
      <c r="K7" s="54"/>
      <c r="L7" s="55"/>
      <c r="M7" s="56"/>
      <c r="N7" s="57" t="str">
        <f aca="false">IF(M7="","",M7-H7)</f>
        <v/>
      </c>
      <c r="O7" s="58" t="str">
        <f aca="false">IF(M7="","",ABS(M7-H7)*24)</f>
        <v/>
      </c>
      <c r="P7" s="23"/>
      <c r="Q7" s="63" t="s">
        <v>71</v>
      </c>
      <c r="R7" s="63" t="s">
        <v>66</v>
      </c>
      <c r="S7" s="63" t="s">
        <v>72</v>
      </c>
    </row>
    <row r="8" customFormat="false" ht="36" hidden="false" customHeight="true" outlineLevel="0" collapsed="false">
      <c r="A8" s="11" t="n">
        <v>3</v>
      </c>
      <c r="B8" s="64" t="s">
        <v>60</v>
      </c>
      <c r="C8" s="11" t="s">
        <v>73</v>
      </c>
      <c r="D8" s="65" t="s">
        <v>74</v>
      </c>
      <c r="E8" s="66" t="s">
        <v>75</v>
      </c>
      <c r="F8" s="11" t="s">
        <v>64</v>
      </c>
      <c r="G8" s="17" t="e">
        <f aca="false">ROUND(0*$H$3,0)</f>
        <v>#VALUE!</v>
      </c>
      <c r="H8" s="16" t="e">
        <f aca="false">$C$3+G8</f>
        <v>#VALUE!</v>
      </c>
      <c r="I8" s="52"/>
      <c r="J8" s="53" t="n">
        <f aca="false">IF(I8="Complete",1,IF(I8="Skipped",1,IF(I8="Blocked",0.5,IF(I8="In Progress",0.25,0))))</f>
        <v>0</v>
      </c>
      <c r="K8" s="54"/>
      <c r="L8" s="55"/>
      <c r="M8" s="56"/>
      <c r="N8" s="57" t="str">
        <f aca="false">IF(M8="","",M8-H8)</f>
        <v/>
      </c>
      <c r="O8" s="58" t="str">
        <f aca="false">IF(M8="","",ABS(M8-H8)*24)</f>
        <v/>
      </c>
      <c r="P8" s="11"/>
      <c r="Q8" s="67" t="s">
        <v>76</v>
      </c>
      <c r="R8" s="67" t="s">
        <v>66</v>
      </c>
      <c r="S8" s="67" t="s">
        <v>77</v>
      </c>
    </row>
    <row r="9" customFormat="false" ht="36" hidden="false" customHeight="true" outlineLevel="0" collapsed="false">
      <c r="A9" s="23" t="n">
        <v>4</v>
      </c>
      <c r="B9" s="60" t="s">
        <v>60</v>
      </c>
      <c r="C9" s="23" t="s">
        <v>78</v>
      </c>
      <c r="D9" s="61" t="s">
        <v>79</v>
      </c>
      <c r="E9" s="62" t="s">
        <v>80</v>
      </c>
      <c r="F9" s="23" t="s">
        <v>64</v>
      </c>
      <c r="G9" s="26" t="e">
        <f aca="false">ROUND(1*$H$3,0)</f>
        <v>#VALUE!</v>
      </c>
      <c r="H9" s="25" t="e">
        <f aca="false">$C$3+G9</f>
        <v>#VALUE!</v>
      </c>
      <c r="I9" s="52"/>
      <c r="J9" s="53" t="n">
        <f aca="false">IF(I9="Complete",1,IF(I9="Skipped",1,IF(I9="Blocked",0.5,IF(I9="In Progress",0.25,0))))</f>
        <v>0</v>
      </c>
      <c r="K9" s="54"/>
      <c r="L9" s="55"/>
      <c r="M9" s="56"/>
      <c r="N9" s="57" t="str">
        <f aca="false">IF(M9="","",M9-H9)</f>
        <v/>
      </c>
      <c r="O9" s="58" t="str">
        <f aca="false">IF(M9="","",ABS(M9-H9)*24)</f>
        <v/>
      </c>
      <c r="P9" s="23"/>
      <c r="Q9" s="63" t="s">
        <v>81</v>
      </c>
      <c r="R9" s="63" t="s">
        <v>66</v>
      </c>
      <c r="S9" s="63" t="s">
        <v>82</v>
      </c>
    </row>
    <row r="10" customFormat="false" ht="36" hidden="false" customHeight="true" outlineLevel="0" collapsed="false">
      <c r="A10" s="11" t="n">
        <v>5</v>
      </c>
      <c r="B10" s="64" t="s">
        <v>60</v>
      </c>
      <c r="C10" s="11" t="s">
        <v>83</v>
      </c>
      <c r="D10" s="65" t="s">
        <v>84</v>
      </c>
      <c r="E10" s="66" t="s">
        <v>85</v>
      </c>
      <c r="F10" s="11" t="s">
        <v>64</v>
      </c>
      <c r="G10" s="17" t="e">
        <f aca="false">ROUND(1*$H$3,0)</f>
        <v>#VALUE!</v>
      </c>
      <c r="H10" s="16" t="e">
        <f aca="false">$C$3+G10</f>
        <v>#VALUE!</v>
      </c>
      <c r="I10" s="52"/>
      <c r="J10" s="53" t="n">
        <f aca="false">IF(I10="Complete",1,IF(I10="Skipped",1,IF(I10="Blocked",0.5,IF(I10="In Progress",0.25,0))))</f>
        <v>0</v>
      </c>
      <c r="K10" s="54"/>
      <c r="L10" s="55"/>
      <c r="M10" s="56"/>
      <c r="N10" s="57" t="str">
        <f aca="false">IF(M10="","",M10-H10)</f>
        <v/>
      </c>
      <c r="O10" s="58" t="str">
        <f aca="false">IF(M10="","",ABS(M10-H10)*24)</f>
        <v/>
      </c>
      <c r="P10" s="11"/>
      <c r="Q10" s="67" t="s">
        <v>86</v>
      </c>
      <c r="R10" s="67" t="s">
        <v>66</v>
      </c>
      <c r="S10" s="67" t="s">
        <v>87</v>
      </c>
    </row>
    <row r="11" customFormat="false" ht="36" hidden="false" customHeight="true" outlineLevel="0" collapsed="false">
      <c r="A11" s="23" t="n">
        <v>6</v>
      </c>
      <c r="B11" s="60" t="s">
        <v>60</v>
      </c>
      <c r="C11" s="23" t="s">
        <v>88</v>
      </c>
      <c r="D11" s="61" t="s">
        <v>89</v>
      </c>
      <c r="E11" s="62" t="s">
        <v>90</v>
      </c>
      <c r="F11" s="23" t="s">
        <v>64</v>
      </c>
      <c r="G11" s="26" t="e">
        <f aca="false">ROUND(1*$H$3,0)</f>
        <v>#VALUE!</v>
      </c>
      <c r="H11" s="25" t="e">
        <f aca="false">$C$3+G11</f>
        <v>#VALUE!</v>
      </c>
      <c r="I11" s="52"/>
      <c r="J11" s="53" t="n">
        <f aca="false">IF(I11="Complete",1,IF(I11="Skipped",1,IF(I11="Blocked",0.5,IF(I11="In Progress",0.25,0))))</f>
        <v>0</v>
      </c>
      <c r="K11" s="54"/>
      <c r="L11" s="55"/>
      <c r="M11" s="56"/>
      <c r="N11" s="57" t="str">
        <f aca="false">IF(M11="","",M11-H11)</f>
        <v/>
      </c>
      <c r="O11" s="58" t="str">
        <f aca="false">IF(M11="","",ABS(M11-H11)*24)</f>
        <v/>
      </c>
      <c r="P11" s="23"/>
      <c r="Q11" s="63" t="s">
        <v>91</v>
      </c>
      <c r="R11" s="63" t="s">
        <v>66</v>
      </c>
      <c r="S11" s="63" t="s">
        <v>92</v>
      </c>
    </row>
    <row r="12" customFormat="false" ht="36" hidden="false" customHeight="true" outlineLevel="0" collapsed="false">
      <c r="A12" s="11" t="n">
        <v>7</v>
      </c>
      <c r="B12" s="64" t="s">
        <v>60</v>
      </c>
      <c r="C12" s="11" t="s">
        <v>93</v>
      </c>
      <c r="D12" s="65" t="s">
        <v>94</v>
      </c>
      <c r="E12" s="66" t="s">
        <v>95</v>
      </c>
      <c r="F12" s="11" t="s">
        <v>96</v>
      </c>
      <c r="G12" s="17" t="e">
        <f aca="false">ROUND(1*$H$3,0)</f>
        <v>#VALUE!</v>
      </c>
      <c r="H12" s="16" t="e">
        <f aca="false">$C$3+G12</f>
        <v>#VALUE!</v>
      </c>
      <c r="I12" s="52"/>
      <c r="J12" s="53" t="n">
        <f aca="false">IF(I12="Complete",1,IF(I12="Skipped",1,IF(I12="Blocked",0.5,IF(I12="In Progress",0.25,0))))</f>
        <v>0</v>
      </c>
      <c r="K12" s="54"/>
      <c r="L12" s="55"/>
      <c r="M12" s="56"/>
      <c r="N12" s="57" t="str">
        <f aca="false">IF(M12="","",M12-H12)</f>
        <v/>
      </c>
      <c r="O12" s="58" t="str">
        <f aca="false">IF(M12="","",ABS(M12-H12)*24)</f>
        <v/>
      </c>
      <c r="P12" s="11"/>
      <c r="Q12" s="67" t="s">
        <v>97</v>
      </c>
      <c r="R12" s="67" t="s">
        <v>66</v>
      </c>
      <c r="S12" s="67" t="s">
        <v>98</v>
      </c>
    </row>
    <row r="13" customFormat="false" ht="36" hidden="false" customHeight="true" outlineLevel="0" collapsed="false">
      <c r="A13" s="23" t="n">
        <v>8</v>
      </c>
      <c r="B13" s="60" t="s">
        <v>60</v>
      </c>
      <c r="C13" s="23" t="s">
        <v>99</v>
      </c>
      <c r="D13" s="61" t="s">
        <v>100</v>
      </c>
      <c r="E13" s="62" t="s">
        <v>101</v>
      </c>
      <c r="F13" s="23" t="s">
        <v>64</v>
      </c>
      <c r="G13" s="26" t="e">
        <f aca="false">ROUND(1*$H$3,0)</f>
        <v>#VALUE!</v>
      </c>
      <c r="H13" s="25" t="e">
        <f aca="false">$C$3+G13</f>
        <v>#VALUE!</v>
      </c>
      <c r="I13" s="52"/>
      <c r="J13" s="53" t="n">
        <f aca="false">IF(I13="Complete",1,IF(I13="Skipped",1,IF(I13="Blocked",0.5,IF(I13="In Progress",0.25,0))))</f>
        <v>0</v>
      </c>
      <c r="K13" s="54"/>
      <c r="L13" s="55"/>
      <c r="M13" s="56"/>
      <c r="N13" s="57" t="str">
        <f aca="false">IF(M13="","",M13-H13)</f>
        <v/>
      </c>
      <c r="O13" s="58" t="str">
        <f aca="false">IF(M13="","",ABS(M13-H13)*24)</f>
        <v/>
      </c>
      <c r="P13" s="23"/>
      <c r="Q13" s="63" t="s">
        <v>102</v>
      </c>
      <c r="R13" s="63" t="s">
        <v>103</v>
      </c>
      <c r="S13" s="63" t="s">
        <v>104</v>
      </c>
    </row>
    <row r="14" customFormat="false" ht="36" hidden="false" customHeight="true" outlineLevel="0" collapsed="false">
      <c r="A14" s="11" t="n">
        <v>9</v>
      </c>
      <c r="B14" s="64" t="s">
        <v>60</v>
      </c>
      <c r="C14" s="11" t="s">
        <v>105</v>
      </c>
      <c r="D14" s="65" t="s">
        <v>106</v>
      </c>
      <c r="E14" s="66" t="s">
        <v>107</v>
      </c>
      <c r="F14" s="11" t="s">
        <v>64</v>
      </c>
      <c r="G14" s="17" t="e">
        <f aca="false">ROUND(2*$H$3,0)</f>
        <v>#VALUE!</v>
      </c>
      <c r="H14" s="16" t="e">
        <f aca="false">$C$3+G14</f>
        <v>#VALUE!</v>
      </c>
      <c r="I14" s="52"/>
      <c r="J14" s="53" t="n">
        <f aca="false">IF(I14="Complete",1,IF(I14="Skipped",1,IF(I14="Blocked",0.5,IF(I14="In Progress",0.25,0))))</f>
        <v>0</v>
      </c>
      <c r="K14" s="54"/>
      <c r="L14" s="55"/>
      <c r="M14" s="56"/>
      <c r="N14" s="57" t="str">
        <f aca="false">IF(M14="","",M14-H14)</f>
        <v/>
      </c>
      <c r="O14" s="58" t="str">
        <f aca="false">IF(M14="","",ABS(M14-H14)*24)</f>
        <v/>
      </c>
      <c r="P14" s="11"/>
      <c r="Q14" s="67" t="s">
        <v>108</v>
      </c>
      <c r="R14" s="67" t="s">
        <v>109</v>
      </c>
      <c r="S14" s="67" t="s">
        <v>110</v>
      </c>
    </row>
    <row r="15" customFormat="false" ht="36" hidden="false" customHeight="true" outlineLevel="0" collapsed="false">
      <c r="A15" s="23" t="n">
        <v>10</v>
      </c>
      <c r="B15" s="60" t="s">
        <v>60</v>
      </c>
      <c r="C15" s="23" t="s">
        <v>111</v>
      </c>
      <c r="D15" s="61" t="s">
        <v>112</v>
      </c>
      <c r="E15" s="62" t="s">
        <v>113</v>
      </c>
      <c r="F15" s="23" t="s">
        <v>114</v>
      </c>
      <c r="G15" s="26" t="e">
        <f aca="false">ROUND(2*$H$3,0)</f>
        <v>#VALUE!</v>
      </c>
      <c r="H15" s="25" t="e">
        <f aca="false">$C$3+G15</f>
        <v>#VALUE!</v>
      </c>
      <c r="I15" s="52"/>
      <c r="J15" s="53" t="n">
        <f aca="false">IF(I15="Complete",1,IF(I15="Skipped",1,IF(I15="Blocked",0.5,IF(I15="In Progress",0.25,0))))</f>
        <v>0</v>
      </c>
      <c r="K15" s="54"/>
      <c r="L15" s="55"/>
      <c r="M15" s="56"/>
      <c r="N15" s="57" t="str">
        <f aca="false">IF(M15="","",M15-H15)</f>
        <v/>
      </c>
      <c r="O15" s="58" t="str">
        <f aca="false">IF(M15="","",ABS(M15-H15)*24)</f>
        <v/>
      </c>
      <c r="P15" s="23"/>
      <c r="Q15" s="63" t="s">
        <v>115</v>
      </c>
      <c r="R15" s="63" t="s">
        <v>116</v>
      </c>
      <c r="S15" s="63" t="s">
        <v>117</v>
      </c>
    </row>
    <row r="16" customFormat="false" ht="36" hidden="false" customHeight="true" outlineLevel="0" collapsed="false">
      <c r="A16" s="46" t="n">
        <v>11</v>
      </c>
      <c r="B16" s="47" t="s">
        <v>118</v>
      </c>
      <c r="C16" s="46" t="s">
        <v>119</v>
      </c>
      <c r="D16" s="48" t="s">
        <v>120</v>
      </c>
      <c r="E16" s="49" t="s">
        <v>121</v>
      </c>
      <c r="F16" s="46" t="s">
        <v>64</v>
      </c>
      <c r="G16" s="50" t="e">
        <f aca="false">ROUND(3*$H$3,0)</f>
        <v>#VALUE!</v>
      </c>
      <c r="H16" s="51" t="e">
        <f aca="false">$C$3+G16</f>
        <v>#VALUE!</v>
      </c>
      <c r="I16" s="52"/>
      <c r="J16" s="53" t="n">
        <f aca="false">IF(I16="Complete",1,IF(I16="Skipped",1,IF(I16="Blocked",0.5,IF(I16="In Progress",0.25,0))))</f>
        <v>0</v>
      </c>
      <c r="K16" s="54"/>
      <c r="L16" s="55"/>
      <c r="M16" s="56"/>
      <c r="N16" s="57" t="str">
        <f aca="false">IF(M16="","",M16-H16)</f>
        <v/>
      </c>
      <c r="O16" s="58" t="str">
        <f aca="false">IF(M16="","",ABS(M16-H16)*24)</f>
        <v/>
      </c>
      <c r="P16" s="46"/>
      <c r="Q16" s="59" t="s">
        <v>122</v>
      </c>
      <c r="R16" s="59" t="s">
        <v>123</v>
      </c>
      <c r="S16" s="59" t="s">
        <v>124</v>
      </c>
    </row>
    <row r="17" customFormat="false" ht="36" hidden="false" customHeight="true" outlineLevel="0" collapsed="false">
      <c r="A17" s="23" t="n">
        <v>12</v>
      </c>
      <c r="B17" s="60" t="s">
        <v>118</v>
      </c>
      <c r="C17" s="23" t="s">
        <v>125</v>
      </c>
      <c r="D17" s="61" t="s">
        <v>126</v>
      </c>
      <c r="E17" s="62" t="s">
        <v>127</v>
      </c>
      <c r="F17" s="23" t="s">
        <v>64</v>
      </c>
      <c r="G17" s="26" t="e">
        <f aca="false">ROUND(3*$H$3,0)</f>
        <v>#VALUE!</v>
      </c>
      <c r="H17" s="25" t="e">
        <f aca="false">$C$3+G17</f>
        <v>#VALUE!</v>
      </c>
      <c r="I17" s="52"/>
      <c r="J17" s="53" t="n">
        <f aca="false">IF(I17="Complete",1,IF(I17="Skipped",1,IF(I17="Blocked",0.5,IF(I17="In Progress",0.25,0))))</f>
        <v>0</v>
      </c>
      <c r="K17" s="54"/>
      <c r="L17" s="55"/>
      <c r="M17" s="56"/>
      <c r="N17" s="57" t="str">
        <f aca="false">IF(M17="","",M17-H17)</f>
        <v/>
      </c>
      <c r="O17" s="58" t="str">
        <f aca="false">IF(M17="","",ABS(M17-H17)*24)</f>
        <v/>
      </c>
      <c r="P17" s="23"/>
      <c r="Q17" s="63" t="s">
        <v>128</v>
      </c>
      <c r="R17" s="63" t="s">
        <v>129</v>
      </c>
      <c r="S17" s="63" t="s">
        <v>130</v>
      </c>
    </row>
    <row r="18" customFormat="false" ht="36" hidden="false" customHeight="true" outlineLevel="0" collapsed="false">
      <c r="A18" s="11" t="n">
        <v>13</v>
      </c>
      <c r="B18" s="64" t="s">
        <v>118</v>
      </c>
      <c r="C18" s="11" t="s">
        <v>131</v>
      </c>
      <c r="D18" s="65" t="s">
        <v>132</v>
      </c>
      <c r="E18" s="66" t="s">
        <v>133</v>
      </c>
      <c r="F18" s="11" t="s">
        <v>64</v>
      </c>
      <c r="G18" s="17" t="e">
        <f aca="false">ROUND(3*$H$3,0)</f>
        <v>#VALUE!</v>
      </c>
      <c r="H18" s="16" t="e">
        <f aca="false">$C$3+G18</f>
        <v>#VALUE!</v>
      </c>
      <c r="I18" s="52"/>
      <c r="J18" s="53" t="n">
        <f aca="false">IF(I18="Complete",1,IF(I18="Skipped",1,IF(I18="Blocked",0.5,IF(I18="In Progress",0.25,0))))</f>
        <v>0</v>
      </c>
      <c r="K18" s="54"/>
      <c r="L18" s="55"/>
      <c r="M18" s="56"/>
      <c r="N18" s="57" t="str">
        <f aca="false">IF(M18="","",M18-H18)</f>
        <v/>
      </c>
      <c r="O18" s="58" t="str">
        <f aca="false">IF(M18="","",ABS(M18-H18)*24)</f>
        <v/>
      </c>
      <c r="P18" s="11"/>
      <c r="Q18" s="67" t="s">
        <v>134</v>
      </c>
      <c r="R18" s="67" t="s">
        <v>135</v>
      </c>
      <c r="S18" s="67" t="s">
        <v>136</v>
      </c>
    </row>
    <row r="19" customFormat="false" ht="36" hidden="false" customHeight="true" outlineLevel="0" collapsed="false">
      <c r="A19" s="23" t="n">
        <v>14</v>
      </c>
      <c r="B19" s="60" t="s">
        <v>118</v>
      </c>
      <c r="C19" s="23" t="s">
        <v>137</v>
      </c>
      <c r="D19" s="61" t="s">
        <v>138</v>
      </c>
      <c r="E19" s="62" t="s">
        <v>139</v>
      </c>
      <c r="F19" s="23" t="s">
        <v>64</v>
      </c>
      <c r="G19" s="26" t="e">
        <f aca="false">ROUND(3*$H$3,0)</f>
        <v>#VALUE!</v>
      </c>
      <c r="H19" s="25" t="e">
        <f aca="false">$C$3+G19</f>
        <v>#VALUE!</v>
      </c>
      <c r="I19" s="52"/>
      <c r="J19" s="53" t="n">
        <f aca="false">IF(I19="Complete",1,IF(I19="Skipped",1,IF(I19="Blocked",0.5,IF(I19="In Progress",0.25,0))))</f>
        <v>0</v>
      </c>
      <c r="K19" s="54"/>
      <c r="L19" s="55"/>
      <c r="M19" s="56"/>
      <c r="N19" s="57" t="str">
        <f aca="false">IF(M19="","",M19-H19)</f>
        <v/>
      </c>
      <c r="O19" s="58" t="str">
        <f aca="false">IF(M19="","",ABS(M19-H19)*24)</f>
        <v/>
      </c>
      <c r="P19" s="23"/>
      <c r="Q19" s="63" t="s">
        <v>140</v>
      </c>
      <c r="R19" s="63" t="s">
        <v>141</v>
      </c>
      <c r="S19" s="63" t="s">
        <v>142</v>
      </c>
    </row>
    <row r="20" customFormat="false" ht="36" hidden="false" customHeight="true" outlineLevel="0" collapsed="false">
      <c r="A20" s="11" t="n">
        <v>15</v>
      </c>
      <c r="B20" s="64" t="s">
        <v>118</v>
      </c>
      <c r="C20" s="11" t="s">
        <v>143</v>
      </c>
      <c r="D20" s="65" t="s">
        <v>144</v>
      </c>
      <c r="E20" s="66" t="s">
        <v>145</v>
      </c>
      <c r="F20" s="11" t="s">
        <v>64</v>
      </c>
      <c r="G20" s="17" t="e">
        <f aca="false">ROUND(3*$H$3,0)</f>
        <v>#VALUE!</v>
      </c>
      <c r="H20" s="16" t="e">
        <f aca="false">$C$3+G20</f>
        <v>#VALUE!</v>
      </c>
      <c r="I20" s="52"/>
      <c r="J20" s="53" t="n">
        <f aca="false">IF(I20="Complete",1,IF(I20="Skipped",1,IF(I20="Blocked",0.5,IF(I20="In Progress",0.25,0))))</f>
        <v>0</v>
      </c>
      <c r="K20" s="54"/>
      <c r="L20" s="55"/>
      <c r="M20" s="56"/>
      <c r="N20" s="57" t="str">
        <f aca="false">IF(M20="","",M20-H20)</f>
        <v/>
      </c>
      <c r="O20" s="58" t="str">
        <f aca="false">IF(M20="","",ABS(M20-H20)*24)</f>
        <v/>
      </c>
      <c r="P20" s="11"/>
      <c r="Q20" s="67" t="s">
        <v>146</v>
      </c>
      <c r="R20" s="67" t="s">
        <v>147</v>
      </c>
      <c r="S20" s="67" t="s">
        <v>148</v>
      </c>
    </row>
    <row r="21" customFormat="false" ht="36" hidden="false" customHeight="true" outlineLevel="0" collapsed="false">
      <c r="A21" s="23" t="n">
        <v>16</v>
      </c>
      <c r="B21" s="60" t="s">
        <v>118</v>
      </c>
      <c r="C21" s="23" t="s">
        <v>149</v>
      </c>
      <c r="D21" s="61" t="s">
        <v>150</v>
      </c>
      <c r="E21" s="62" t="s">
        <v>151</v>
      </c>
      <c r="F21" s="23" t="s">
        <v>152</v>
      </c>
      <c r="G21" s="26" t="e">
        <f aca="false">ROUND(3*$H$3,0)</f>
        <v>#VALUE!</v>
      </c>
      <c r="H21" s="25" t="e">
        <f aca="false">$C$3+G21</f>
        <v>#VALUE!</v>
      </c>
      <c r="I21" s="52"/>
      <c r="J21" s="53" t="n">
        <f aca="false">IF(I21="Complete",1,IF(I21="Skipped",1,IF(I21="Blocked",0.5,IF(I21="In Progress",0.25,0))))</f>
        <v>0</v>
      </c>
      <c r="K21" s="54"/>
      <c r="L21" s="55"/>
      <c r="M21" s="56"/>
      <c r="N21" s="57" t="str">
        <f aca="false">IF(M21="","",M21-H21)</f>
        <v/>
      </c>
      <c r="O21" s="58" t="str">
        <f aca="false">IF(M21="","",ABS(M21-H21)*24)</f>
        <v/>
      </c>
      <c r="P21" s="23"/>
      <c r="Q21" s="63" t="s">
        <v>153</v>
      </c>
      <c r="R21" s="63" t="s">
        <v>154</v>
      </c>
      <c r="S21" s="63" t="s">
        <v>155</v>
      </c>
    </row>
    <row r="22" customFormat="false" ht="36" hidden="false" customHeight="true" outlineLevel="0" collapsed="false">
      <c r="A22" s="46" t="n">
        <v>17</v>
      </c>
      <c r="B22" s="47" t="s">
        <v>156</v>
      </c>
      <c r="C22" s="46" t="s">
        <v>157</v>
      </c>
      <c r="D22" s="48" t="s">
        <v>158</v>
      </c>
      <c r="E22" s="49" t="s">
        <v>159</v>
      </c>
      <c r="F22" s="46" t="s">
        <v>64</v>
      </c>
      <c r="G22" s="50" t="e">
        <f aca="false">ROUND(4*$H$3,0)</f>
        <v>#VALUE!</v>
      </c>
      <c r="H22" s="51" t="e">
        <f aca="false">$C$3+G22</f>
        <v>#VALUE!</v>
      </c>
      <c r="I22" s="52"/>
      <c r="J22" s="53" t="n">
        <f aca="false">IF(I22="Complete",1,IF(I22="Skipped",1,IF(I22="Blocked",0.5,IF(I22="In Progress",0.25,0))))</f>
        <v>0</v>
      </c>
      <c r="K22" s="54"/>
      <c r="L22" s="55"/>
      <c r="M22" s="56"/>
      <c r="N22" s="57" t="str">
        <f aca="false">IF(M22="","",M22-H22)</f>
        <v/>
      </c>
      <c r="O22" s="58" t="str">
        <f aca="false">IF(M22="","",ABS(M22-H22)*24)</f>
        <v/>
      </c>
      <c r="P22" s="46"/>
      <c r="Q22" s="59" t="s">
        <v>160</v>
      </c>
      <c r="R22" s="59" t="s">
        <v>161</v>
      </c>
      <c r="S22" s="59" t="s">
        <v>162</v>
      </c>
    </row>
    <row r="23" customFormat="false" ht="36" hidden="false" customHeight="true" outlineLevel="0" collapsed="false">
      <c r="A23" s="23" t="n">
        <v>18</v>
      </c>
      <c r="B23" s="60" t="s">
        <v>156</v>
      </c>
      <c r="C23" s="23" t="s">
        <v>163</v>
      </c>
      <c r="D23" s="61" t="s">
        <v>164</v>
      </c>
      <c r="E23" s="62" t="s">
        <v>165</v>
      </c>
      <c r="F23" s="23" t="s">
        <v>64</v>
      </c>
      <c r="G23" s="26" t="e">
        <f aca="false">ROUND(4*$H$3,0)</f>
        <v>#VALUE!</v>
      </c>
      <c r="H23" s="25" t="e">
        <f aca="false">$C$3+G23</f>
        <v>#VALUE!</v>
      </c>
      <c r="I23" s="52"/>
      <c r="J23" s="53" t="n">
        <f aca="false">IF(I23="Complete",1,IF(I23="Skipped",1,IF(I23="Blocked",0.5,IF(I23="In Progress",0.25,0))))</f>
        <v>0</v>
      </c>
      <c r="K23" s="54"/>
      <c r="L23" s="55"/>
      <c r="M23" s="56"/>
      <c r="N23" s="57" t="str">
        <f aca="false">IF(M23="","",M23-H23)</f>
        <v/>
      </c>
      <c r="O23" s="58" t="str">
        <f aca="false">IF(M23="","",ABS(M23-H23)*24)</f>
        <v/>
      </c>
      <c r="P23" s="23"/>
      <c r="Q23" s="63" t="s">
        <v>166</v>
      </c>
      <c r="R23" s="63" t="s">
        <v>167</v>
      </c>
      <c r="S23" s="63"/>
    </row>
    <row r="24" customFormat="false" ht="36" hidden="false" customHeight="true" outlineLevel="0" collapsed="false">
      <c r="A24" s="11" t="n">
        <v>19</v>
      </c>
      <c r="B24" s="64" t="s">
        <v>156</v>
      </c>
      <c r="C24" s="11" t="s">
        <v>168</v>
      </c>
      <c r="D24" s="65" t="s">
        <v>169</v>
      </c>
      <c r="E24" s="66" t="s">
        <v>170</v>
      </c>
      <c r="F24" s="11" t="s">
        <v>64</v>
      </c>
      <c r="G24" s="17" t="e">
        <f aca="false">ROUND(4*$H$3,0)</f>
        <v>#VALUE!</v>
      </c>
      <c r="H24" s="16" t="e">
        <f aca="false">$C$3+G24</f>
        <v>#VALUE!</v>
      </c>
      <c r="I24" s="52"/>
      <c r="J24" s="53" t="n">
        <f aca="false">IF(I24="Complete",1,IF(I24="Skipped",1,IF(I24="Blocked",0.5,IF(I24="In Progress",0.25,0))))</f>
        <v>0</v>
      </c>
      <c r="K24" s="54"/>
      <c r="L24" s="55"/>
      <c r="M24" s="56"/>
      <c r="N24" s="57" t="str">
        <f aca="false">IF(M24="","",M24-H24)</f>
        <v/>
      </c>
      <c r="O24" s="58" t="str">
        <f aca="false">IF(M24="","",ABS(M24-H24)*24)</f>
        <v/>
      </c>
      <c r="P24" s="11"/>
      <c r="Q24" s="67" t="s">
        <v>171</v>
      </c>
      <c r="R24" s="67" t="s">
        <v>172</v>
      </c>
      <c r="S24" s="67" t="s">
        <v>173</v>
      </c>
    </row>
    <row r="25" customFormat="false" ht="36" hidden="false" customHeight="true" outlineLevel="0" collapsed="false">
      <c r="A25" s="23" t="n">
        <v>20</v>
      </c>
      <c r="B25" s="60" t="s">
        <v>156</v>
      </c>
      <c r="C25" s="23" t="s">
        <v>174</v>
      </c>
      <c r="D25" s="61" t="s">
        <v>175</v>
      </c>
      <c r="E25" s="62" t="s">
        <v>176</v>
      </c>
      <c r="F25" s="23" t="s">
        <v>64</v>
      </c>
      <c r="G25" s="26" t="e">
        <f aca="false">ROUND(4*$H$3,0)</f>
        <v>#VALUE!</v>
      </c>
      <c r="H25" s="25" t="e">
        <f aca="false">$C$3+G25</f>
        <v>#VALUE!</v>
      </c>
      <c r="I25" s="52"/>
      <c r="J25" s="53" t="n">
        <f aca="false">IF(I25="Complete",1,IF(I25="Skipped",1,IF(I25="Blocked",0.5,IF(I25="In Progress",0.25,0))))</f>
        <v>0</v>
      </c>
      <c r="K25" s="54"/>
      <c r="L25" s="55"/>
      <c r="M25" s="56"/>
      <c r="N25" s="57" t="str">
        <f aca="false">IF(M25="","",M25-H25)</f>
        <v/>
      </c>
      <c r="O25" s="58" t="str">
        <f aca="false">IF(M25="","",ABS(M25-H25)*24)</f>
        <v/>
      </c>
      <c r="P25" s="23"/>
      <c r="Q25" s="63" t="s">
        <v>177</v>
      </c>
      <c r="R25" s="63" t="s">
        <v>178</v>
      </c>
      <c r="S25" s="63" t="s">
        <v>179</v>
      </c>
    </row>
    <row r="26" customFormat="false" ht="36" hidden="false" customHeight="true" outlineLevel="0" collapsed="false">
      <c r="A26" s="11" t="n">
        <v>21</v>
      </c>
      <c r="B26" s="64" t="s">
        <v>156</v>
      </c>
      <c r="C26" s="11" t="s">
        <v>180</v>
      </c>
      <c r="D26" s="65" t="s">
        <v>181</v>
      </c>
      <c r="E26" s="66" t="s">
        <v>182</v>
      </c>
      <c r="F26" s="11" t="s">
        <v>64</v>
      </c>
      <c r="G26" s="17" t="e">
        <f aca="false">ROUND(4*$H$3,0)</f>
        <v>#VALUE!</v>
      </c>
      <c r="H26" s="16" t="e">
        <f aca="false">$C$3+G26</f>
        <v>#VALUE!</v>
      </c>
      <c r="I26" s="52"/>
      <c r="J26" s="53" t="n">
        <f aca="false">IF(I26="Complete",1,IF(I26="Skipped",1,IF(I26="Blocked",0.5,IF(I26="In Progress",0.25,0))))</f>
        <v>0</v>
      </c>
      <c r="K26" s="54"/>
      <c r="L26" s="55"/>
      <c r="M26" s="56"/>
      <c r="N26" s="57" t="str">
        <f aca="false">IF(M26="","",M26-H26)</f>
        <v/>
      </c>
      <c r="O26" s="58" t="str">
        <f aca="false">IF(M26="","",ABS(M26-H26)*24)</f>
        <v/>
      </c>
      <c r="P26" s="11"/>
      <c r="Q26" s="67" t="s">
        <v>183</v>
      </c>
      <c r="R26" s="67" t="s">
        <v>184</v>
      </c>
      <c r="S26" s="67" t="s">
        <v>185</v>
      </c>
    </row>
    <row r="27" customFormat="false" ht="36" hidden="false" customHeight="true" outlineLevel="0" collapsed="false">
      <c r="A27" s="23" t="n">
        <v>22</v>
      </c>
      <c r="B27" s="60" t="s">
        <v>156</v>
      </c>
      <c r="C27" s="23" t="s">
        <v>186</v>
      </c>
      <c r="D27" s="61" t="s">
        <v>187</v>
      </c>
      <c r="E27" s="62" t="s">
        <v>188</v>
      </c>
      <c r="F27" s="23" t="s">
        <v>64</v>
      </c>
      <c r="G27" s="26" t="e">
        <f aca="false">ROUND(4*$H$3,0)</f>
        <v>#VALUE!</v>
      </c>
      <c r="H27" s="25" t="e">
        <f aca="false">$C$3+G27</f>
        <v>#VALUE!</v>
      </c>
      <c r="I27" s="52"/>
      <c r="J27" s="53" t="n">
        <f aca="false">IF(I27="Complete",1,IF(I27="Skipped",1,IF(I27="Blocked",0.5,IF(I27="In Progress",0.25,0))))</f>
        <v>0</v>
      </c>
      <c r="K27" s="54"/>
      <c r="L27" s="55"/>
      <c r="M27" s="56"/>
      <c r="N27" s="57" t="str">
        <f aca="false">IF(M27="","",M27-H27)</f>
        <v/>
      </c>
      <c r="O27" s="58" t="str">
        <f aca="false">IF(M27="","",ABS(M27-H27)*24)</f>
        <v/>
      </c>
      <c r="P27" s="23"/>
      <c r="Q27" s="63" t="s">
        <v>189</v>
      </c>
      <c r="R27" s="63" t="s">
        <v>190</v>
      </c>
      <c r="S27" s="63" t="s">
        <v>191</v>
      </c>
    </row>
    <row r="28" customFormat="false" ht="36" hidden="false" customHeight="true" outlineLevel="0" collapsed="false">
      <c r="A28" s="11" t="n">
        <v>23</v>
      </c>
      <c r="B28" s="64" t="s">
        <v>156</v>
      </c>
      <c r="C28" s="11" t="s">
        <v>192</v>
      </c>
      <c r="D28" s="65" t="s">
        <v>193</v>
      </c>
      <c r="E28" s="66" t="s">
        <v>194</v>
      </c>
      <c r="F28" s="11" t="s">
        <v>64</v>
      </c>
      <c r="G28" s="17" t="e">
        <f aca="false">ROUND(5*$H$3,0)</f>
        <v>#VALUE!</v>
      </c>
      <c r="H28" s="16" t="e">
        <f aca="false">$C$3+G28</f>
        <v>#VALUE!</v>
      </c>
      <c r="I28" s="52"/>
      <c r="J28" s="53" t="n">
        <f aca="false">IF(I28="Complete",1,IF(I28="Skipped",1,IF(I28="Blocked",0.5,IF(I28="In Progress",0.25,0))))</f>
        <v>0</v>
      </c>
      <c r="K28" s="54"/>
      <c r="L28" s="55"/>
      <c r="M28" s="56"/>
      <c r="N28" s="57" t="str">
        <f aca="false">IF(M28="","",M28-H28)</f>
        <v/>
      </c>
      <c r="O28" s="58" t="str">
        <f aca="false">IF(M28="","",ABS(M28-H28)*24)</f>
        <v/>
      </c>
      <c r="P28" s="11"/>
      <c r="Q28" s="67" t="s">
        <v>195</v>
      </c>
      <c r="R28" s="67" t="s">
        <v>196</v>
      </c>
      <c r="S28" s="67" t="s">
        <v>197</v>
      </c>
    </row>
    <row r="29" customFormat="false" ht="36" hidden="false" customHeight="true" outlineLevel="0" collapsed="false">
      <c r="A29" s="23" t="n">
        <v>24</v>
      </c>
      <c r="B29" s="60" t="s">
        <v>156</v>
      </c>
      <c r="C29" s="23" t="s">
        <v>198</v>
      </c>
      <c r="D29" s="61" t="s">
        <v>199</v>
      </c>
      <c r="E29" s="62" t="s">
        <v>200</v>
      </c>
      <c r="F29" s="23" t="s">
        <v>64</v>
      </c>
      <c r="G29" s="26" t="e">
        <f aca="false">ROUND(5*$H$3,0)</f>
        <v>#VALUE!</v>
      </c>
      <c r="H29" s="25" t="e">
        <f aca="false">$C$3+G29</f>
        <v>#VALUE!</v>
      </c>
      <c r="I29" s="52"/>
      <c r="J29" s="53" t="n">
        <f aca="false">IF(I29="Complete",1,IF(I29="Skipped",1,IF(I29="Blocked",0.5,IF(I29="In Progress",0.25,0))))</f>
        <v>0</v>
      </c>
      <c r="K29" s="54"/>
      <c r="L29" s="55"/>
      <c r="M29" s="56"/>
      <c r="N29" s="57" t="str">
        <f aca="false">IF(M29="","",M29-H29)</f>
        <v/>
      </c>
      <c r="O29" s="58" t="str">
        <f aca="false">IF(M29="","",ABS(M29-H29)*24)</f>
        <v/>
      </c>
      <c r="P29" s="23"/>
      <c r="Q29" s="63" t="s">
        <v>201</v>
      </c>
      <c r="R29" s="63" t="s">
        <v>202</v>
      </c>
      <c r="S29" s="63" t="s">
        <v>203</v>
      </c>
    </row>
    <row r="30" customFormat="false" ht="36" hidden="false" customHeight="true" outlineLevel="0" collapsed="false">
      <c r="A30" s="11" t="n">
        <v>25</v>
      </c>
      <c r="B30" s="64" t="s">
        <v>156</v>
      </c>
      <c r="C30" s="11" t="s">
        <v>204</v>
      </c>
      <c r="D30" s="65" t="s">
        <v>205</v>
      </c>
      <c r="E30" s="66" t="s">
        <v>206</v>
      </c>
      <c r="F30" s="11" t="s">
        <v>64</v>
      </c>
      <c r="G30" s="17" t="e">
        <f aca="false">ROUND(5*$H$3,0)</f>
        <v>#VALUE!</v>
      </c>
      <c r="H30" s="16" t="e">
        <f aca="false">$C$3+G30</f>
        <v>#VALUE!</v>
      </c>
      <c r="I30" s="52"/>
      <c r="J30" s="53" t="n">
        <f aca="false">IF(I30="Complete",1,IF(I30="Skipped",1,IF(I30="Blocked",0.5,IF(I30="In Progress",0.25,0))))</f>
        <v>0</v>
      </c>
      <c r="K30" s="54"/>
      <c r="L30" s="55"/>
      <c r="M30" s="56"/>
      <c r="N30" s="57" t="str">
        <f aca="false">IF(M30="","",M30-H30)</f>
        <v/>
      </c>
      <c r="O30" s="58" t="str">
        <f aca="false">IF(M30="","",ABS(M30-H30)*24)</f>
        <v/>
      </c>
      <c r="P30" s="11"/>
      <c r="Q30" s="67" t="s">
        <v>207</v>
      </c>
      <c r="R30" s="67" t="s">
        <v>208</v>
      </c>
      <c r="S30" s="67" t="s">
        <v>209</v>
      </c>
    </row>
    <row r="31" customFormat="false" ht="36" hidden="false" customHeight="true" outlineLevel="0" collapsed="false">
      <c r="A31" s="46" t="n">
        <v>26</v>
      </c>
      <c r="B31" s="47" t="s">
        <v>210</v>
      </c>
      <c r="C31" s="46" t="s">
        <v>211</v>
      </c>
      <c r="D31" s="48" t="s">
        <v>212</v>
      </c>
      <c r="E31" s="49" t="s">
        <v>213</v>
      </c>
      <c r="F31" s="46" t="s">
        <v>214</v>
      </c>
      <c r="G31" s="50" t="e">
        <f aca="false">ROUND(6*$H$3,0)</f>
        <v>#VALUE!</v>
      </c>
      <c r="H31" s="51" t="e">
        <f aca="false">$C$3+G31</f>
        <v>#VALUE!</v>
      </c>
      <c r="I31" s="52"/>
      <c r="J31" s="53" t="n">
        <f aca="false">IF(I31="Complete",1,IF(I31="Skipped",1,IF(I31="Blocked",0.5,IF(I31="In Progress",0.25,0))))</f>
        <v>0</v>
      </c>
      <c r="K31" s="54"/>
      <c r="L31" s="55"/>
      <c r="M31" s="56"/>
      <c r="N31" s="57" t="str">
        <f aca="false">IF(M31="","",M31-H31)</f>
        <v/>
      </c>
      <c r="O31" s="58" t="str">
        <f aca="false">IF(M31="","",ABS(M31-H31)*24)</f>
        <v/>
      </c>
      <c r="P31" s="46"/>
      <c r="Q31" s="59" t="s">
        <v>215</v>
      </c>
      <c r="R31" s="59" t="s">
        <v>216</v>
      </c>
      <c r="S31" s="59" t="s">
        <v>217</v>
      </c>
    </row>
    <row r="32" customFormat="false" ht="36" hidden="false" customHeight="true" outlineLevel="0" collapsed="false">
      <c r="A32" s="11" t="n">
        <v>27</v>
      </c>
      <c r="B32" s="64" t="s">
        <v>210</v>
      </c>
      <c r="C32" s="11" t="s">
        <v>218</v>
      </c>
      <c r="D32" s="65" t="s">
        <v>219</v>
      </c>
      <c r="E32" s="66" t="s">
        <v>220</v>
      </c>
      <c r="F32" s="11" t="s">
        <v>214</v>
      </c>
      <c r="G32" s="17" t="e">
        <f aca="false">ROUND(6*$H$3,0)</f>
        <v>#VALUE!</v>
      </c>
      <c r="H32" s="16" t="e">
        <f aca="false">$C$3+G32</f>
        <v>#VALUE!</v>
      </c>
      <c r="I32" s="52"/>
      <c r="J32" s="53" t="n">
        <f aca="false">IF(I32="Complete",1,IF(I32="Skipped",1,IF(I32="Blocked",0.5,IF(I32="In Progress",0.25,0))))</f>
        <v>0</v>
      </c>
      <c r="K32" s="54"/>
      <c r="L32" s="55"/>
      <c r="M32" s="56"/>
      <c r="N32" s="57" t="str">
        <f aca="false">IF(M32="","",M32-H32)</f>
        <v/>
      </c>
      <c r="O32" s="58" t="str">
        <f aca="false">IF(M32="","",ABS(M32-H32)*24)</f>
        <v/>
      </c>
      <c r="P32" s="11"/>
      <c r="Q32" s="67" t="s">
        <v>221</v>
      </c>
      <c r="R32" s="67" t="s">
        <v>222</v>
      </c>
      <c r="S32" s="67" t="s">
        <v>223</v>
      </c>
    </row>
    <row r="33" customFormat="false" ht="36" hidden="false" customHeight="true" outlineLevel="0" collapsed="false">
      <c r="A33" s="23" t="n">
        <v>28</v>
      </c>
      <c r="B33" s="60" t="s">
        <v>210</v>
      </c>
      <c r="C33" s="23" t="s">
        <v>224</v>
      </c>
      <c r="D33" s="61" t="s">
        <v>225</v>
      </c>
      <c r="E33" s="62" t="s">
        <v>226</v>
      </c>
      <c r="F33" s="23" t="s">
        <v>64</v>
      </c>
      <c r="G33" s="26" t="e">
        <f aca="false">ROUND(7*$H$3,0)</f>
        <v>#VALUE!</v>
      </c>
      <c r="H33" s="25" t="e">
        <f aca="false">$C$3+G33</f>
        <v>#VALUE!</v>
      </c>
      <c r="I33" s="52"/>
      <c r="J33" s="53" t="n">
        <f aca="false">IF(I33="Complete",1,IF(I33="Skipped",1,IF(I33="Blocked",0.5,IF(I33="In Progress",0.25,0))))</f>
        <v>0</v>
      </c>
      <c r="K33" s="54"/>
      <c r="L33" s="55"/>
      <c r="M33" s="56"/>
      <c r="N33" s="57" t="str">
        <f aca="false">IF(M33="","",M33-H33)</f>
        <v/>
      </c>
      <c r="O33" s="58" t="str">
        <f aca="false">IF(M33="","",ABS(M33-H33)*24)</f>
        <v/>
      </c>
      <c r="P33" s="23"/>
      <c r="Q33" s="63" t="s">
        <v>227</v>
      </c>
      <c r="R33" s="63" t="s">
        <v>228</v>
      </c>
      <c r="S33" s="63" t="s">
        <v>229</v>
      </c>
    </row>
    <row r="34" customFormat="false" ht="36" hidden="false" customHeight="true" outlineLevel="0" collapsed="false">
      <c r="A34" s="11" t="n">
        <v>29</v>
      </c>
      <c r="B34" s="64" t="s">
        <v>210</v>
      </c>
      <c r="C34" s="11" t="s">
        <v>230</v>
      </c>
      <c r="D34" s="65" t="s">
        <v>231</v>
      </c>
      <c r="E34" s="66" t="s">
        <v>232</v>
      </c>
      <c r="F34" s="11" t="s">
        <v>214</v>
      </c>
      <c r="G34" s="17" t="e">
        <f aca="false">ROUND(8*$H$3,0)</f>
        <v>#VALUE!</v>
      </c>
      <c r="H34" s="16" t="e">
        <f aca="false">$C$3+G34</f>
        <v>#VALUE!</v>
      </c>
      <c r="I34" s="52"/>
      <c r="J34" s="53" t="n">
        <f aca="false">IF(I34="Complete",1,IF(I34="Skipped",1,IF(I34="Blocked",0.5,IF(I34="In Progress",0.25,0))))</f>
        <v>0</v>
      </c>
      <c r="K34" s="54"/>
      <c r="L34" s="55"/>
      <c r="M34" s="56"/>
      <c r="N34" s="57" t="str">
        <f aca="false">IF(M34="","",M34-H34)</f>
        <v/>
      </c>
      <c r="O34" s="58" t="str">
        <f aca="false">IF(M34="","",ABS(M34-H34)*24)</f>
        <v/>
      </c>
      <c r="P34" s="11"/>
      <c r="Q34" s="67" t="s">
        <v>233</v>
      </c>
      <c r="R34" s="67" t="s">
        <v>66</v>
      </c>
      <c r="S34" s="67" t="s">
        <v>234</v>
      </c>
    </row>
    <row r="35" customFormat="false" ht="36" hidden="false" customHeight="true" outlineLevel="0" collapsed="false">
      <c r="A35" s="23" t="n">
        <v>30</v>
      </c>
      <c r="B35" s="60" t="s">
        <v>210</v>
      </c>
      <c r="C35" s="23" t="s">
        <v>235</v>
      </c>
      <c r="D35" s="61" t="s">
        <v>236</v>
      </c>
      <c r="E35" s="62" t="s">
        <v>237</v>
      </c>
      <c r="F35" s="23" t="s">
        <v>114</v>
      </c>
      <c r="G35" s="26" t="e">
        <f aca="false">ROUND(8*$H$3,0)</f>
        <v>#VALUE!</v>
      </c>
      <c r="H35" s="25" t="e">
        <f aca="false">$C$3+G35</f>
        <v>#VALUE!</v>
      </c>
      <c r="I35" s="52"/>
      <c r="J35" s="53" t="n">
        <f aca="false">IF(I35="Complete",1,IF(I35="Skipped",1,IF(I35="Blocked",0.5,IF(I35="In Progress",0.25,0))))</f>
        <v>0</v>
      </c>
      <c r="K35" s="54"/>
      <c r="L35" s="55"/>
      <c r="M35" s="56"/>
      <c r="N35" s="57" t="str">
        <f aca="false">IF(M35="","",M35-H35)</f>
        <v/>
      </c>
      <c r="O35" s="58" t="str">
        <f aca="false">IF(M35="","",ABS(M35-H35)*24)</f>
        <v/>
      </c>
      <c r="P35" s="23"/>
      <c r="Q35" s="63" t="s">
        <v>238</v>
      </c>
      <c r="R35" s="63" t="s">
        <v>239</v>
      </c>
      <c r="S35" s="63"/>
    </row>
    <row r="36" customFormat="false" ht="36" hidden="false" customHeight="true" outlineLevel="0" collapsed="false">
      <c r="A36" s="46" t="n">
        <v>31</v>
      </c>
      <c r="B36" s="47" t="s">
        <v>240</v>
      </c>
      <c r="C36" s="46" t="s">
        <v>241</v>
      </c>
      <c r="D36" s="48" t="s">
        <v>242</v>
      </c>
      <c r="E36" s="49" t="s">
        <v>243</v>
      </c>
      <c r="F36" s="46" t="s">
        <v>64</v>
      </c>
      <c r="G36" s="50" t="e">
        <f aca="false">ROUND(9*$H$3,0)</f>
        <v>#VALUE!</v>
      </c>
      <c r="H36" s="51" t="e">
        <f aca="false">$C$3+G36</f>
        <v>#VALUE!</v>
      </c>
      <c r="I36" s="52"/>
      <c r="J36" s="53" t="n">
        <f aca="false">IF(I36="Complete",1,IF(I36="Skipped",1,IF(I36="Blocked",0.5,IF(I36="In Progress",0.25,0))))</f>
        <v>0</v>
      </c>
      <c r="K36" s="54"/>
      <c r="L36" s="55"/>
      <c r="M36" s="56"/>
      <c r="N36" s="57" t="str">
        <f aca="false">IF(M36="","",M36-H36)</f>
        <v/>
      </c>
      <c r="O36" s="58" t="str">
        <f aca="false">IF(M36="","",ABS(M36-H36)*24)</f>
        <v/>
      </c>
      <c r="P36" s="46"/>
      <c r="Q36" s="59" t="s">
        <v>244</v>
      </c>
      <c r="R36" s="59" t="s">
        <v>245</v>
      </c>
      <c r="S36" s="59" t="s">
        <v>246</v>
      </c>
    </row>
    <row r="37" customFormat="false" ht="36" hidden="false" customHeight="true" outlineLevel="0" collapsed="false">
      <c r="A37" s="23" t="n">
        <v>32</v>
      </c>
      <c r="B37" s="60" t="s">
        <v>240</v>
      </c>
      <c r="C37" s="23" t="s">
        <v>247</v>
      </c>
      <c r="D37" s="61" t="s">
        <v>248</v>
      </c>
      <c r="E37" s="62" t="s">
        <v>249</v>
      </c>
      <c r="F37" s="23" t="s">
        <v>114</v>
      </c>
      <c r="G37" s="26" t="e">
        <f aca="false">ROUND(10*$H$3,0)</f>
        <v>#VALUE!</v>
      </c>
      <c r="H37" s="25" t="e">
        <f aca="false">$C$3+G37</f>
        <v>#VALUE!</v>
      </c>
      <c r="I37" s="52"/>
      <c r="J37" s="53" t="n">
        <f aca="false">IF(I37="Complete",1,IF(I37="Skipped",1,IF(I37="Blocked",0.5,IF(I37="In Progress",0.25,0))))</f>
        <v>0</v>
      </c>
      <c r="K37" s="54"/>
      <c r="L37" s="55"/>
      <c r="M37" s="56"/>
      <c r="N37" s="57" t="str">
        <f aca="false">IF(M37="","",M37-H37)</f>
        <v/>
      </c>
      <c r="O37" s="58" t="str">
        <f aca="false">IF(M37="","",ABS(M37-H37)*24)</f>
        <v/>
      </c>
      <c r="P37" s="23"/>
      <c r="Q37" s="63" t="s">
        <v>250</v>
      </c>
      <c r="R37" s="63" t="s">
        <v>251</v>
      </c>
      <c r="S37" s="63"/>
    </row>
    <row r="38" customFormat="false" ht="36" hidden="false" customHeight="true" outlineLevel="0" collapsed="false">
      <c r="A38" s="11" t="n">
        <v>33</v>
      </c>
      <c r="B38" s="64" t="s">
        <v>240</v>
      </c>
      <c r="C38" s="11" t="s">
        <v>252</v>
      </c>
      <c r="D38" s="65" t="s">
        <v>253</v>
      </c>
      <c r="E38" s="66" t="s">
        <v>254</v>
      </c>
      <c r="F38" s="11" t="s">
        <v>152</v>
      </c>
      <c r="G38" s="17" t="e">
        <f aca="false">ROUND(10*$H$3,0)</f>
        <v>#VALUE!</v>
      </c>
      <c r="H38" s="16" t="e">
        <f aca="false">$C$3+G38</f>
        <v>#VALUE!</v>
      </c>
      <c r="I38" s="52"/>
      <c r="J38" s="53" t="n">
        <f aca="false">IF(I38="Complete",1,IF(I38="Skipped",1,IF(I38="Blocked",0.5,IF(I38="In Progress",0.25,0))))</f>
        <v>0</v>
      </c>
      <c r="K38" s="54"/>
      <c r="L38" s="55"/>
      <c r="M38" s="56"/>
      <c r="N38" s="57" t="str">
        <f aca="false">IF(M38="","",M38-H38)</f>
        <v/>
      </c>
      <c r="O38" s="58" t="str">
        <f aca="false">IF(M38="","",ABS(M38-H38)*24)</f>
        <v/>
      </c>
      <c r="P38" s="11"/>
      <c r="Q38" s="67" t="s">
        <v>255</v>
      </c>
      <c r="R38" s="67" t="s">
        <v>256</v>
      </c>
      <c r="S38" s="67" t="s">
        <v>257</v>
      </c>
    </row>
    <row r="39" customFormat="false" ht="36" hidden="false" customHeight="true" outlineLevel="0" collapsed="false">
      <c r="A39" s="23" t="n">
        <v>34</v>
      </c>
      <c r="B39" s="60" t="s">
        <v>240</v>
      </c>
      <c r="C39" s="23" t="s">
        <v>258</v>
      </c>
      <c r="D39" s="61" t="s">
        <v>259</v>
      </c>
      <c r="E39" s="62" t="s">
        <v>260</v>
      </c>
      <c r="F39" s="23" t="s">
        <v>64</v>
      </c>
      <c r="G39" s="26" t="e">
        <f aca="false">ROUND(10*$H$3,0)</f>
        <v>#VALUE!</v>
      </c>
      <c r="H39" s="25" t="e">
        <f aca="false">$C$3+G39</f>
        <v>#VALUE!</v>
      </c>
      <c r="I39" s="52"/>
      <c r="J39" s="53" t="n">
        <f aca="false">IF(I39="Complete",1,IF(I39="Skipped",1,IF(I39="Blocked",0.5,IF(I39="In Progress",0.25,0))))</f>
        <v>0</v>
      </c>
      <c r="K39" s="54"/>
      <c r="L39" s="55"/>
      <c r="M39" s="56"/>
      <c r="N39" s="57" t="str">
        <f aca="false">IF(M39="","",M39-H39)</f>
        <v/>
      </c>
      <c r="O39" s="58" t="str">
        <f aca="false">IF(M39="","",ABS(M39-H39)*24)</f>
        <v/>
      </c>
      <c r="P39" s="23"/>
      <c r="Q39" s="63" t="s">
        <v>261</v>
      </c>
      <c r="R39" s="63" t="s">
        <v>262</v>
      </c>
      <c r="S39" s="63"/>
    </row>
    <row r="40" customFormat="false" ht="36" hidden="false" customHeight="true" outlineLevel="0" collapsed="false">
      <c r="A40" s="46" t="n">
        <v>35</v>
      </c>
      <c r="B40" s="47" t="s">
        <v>263</v>
      </c>
      <c r="C40" s="46" t="s">
        <v>264</v>
      </c>
      <c r="D40" s="48" t="s">
        <v>265</v>
      </c>
      <c r="E40" s="49" t="s">
        <v>266</v>
      </c>
      <c r="F40" s="46" t="s">
        <v>64</v>
      </c>
      <c r="G40" s="50" t="e">
        <f aca="false">ROUND(10*$H$3,0)</f>
        <v>#VALUE!</v>
      </c>
      <c r="H40" s="51" t="e">
        <f aca="false">$C$3+G40</f>
        <v>#VALUE!</v>
      </c>
      <c r="I40" s="52"/>
      <c r="J40" s="53" t="n">
        <f aca="false">IF(I40="Complete",1,IF(I40="Skipped",1,IF(I40="Blocked",0.5,IF(I40="In Progress",0.25,0))))</f>
        <v>0</v>
      </c>
      <c r="K40" s="54"/>
      <c r="L40" s="55"/>
      <c r="M40" s="56"/>
      <c r="N40" s="57" t="str">
        <f aca="false">IF(M40="","",M40-H40)</f>
        <v/>
      </c>
      <c r="O40" s="58" t="str">
        <f aca="false">IF(M40="","",ABS(M40-H40)*24)</f>
        <v/>
      </c>
      <c r="P40" s="46"/>
      <c r="Q40" s="59" t="s">
        <v>267</v>
      </c>
      <c r="R40" s="59" t="s">
        <v>268</v>
      </c>
      <c r="S40" s="59" t="s">
        <v>269</v>
      </c>
    </row>
    <row r="41" customFormat="false" ht="36" hidden="false" customHeight="true" outlineLevel="0" collapsed="false">
      <c r="A41" s="46" t="n">
        <v>36</v>
      </c>
      <c r="B41" s="47" t="s">
        <v>270</v>
      </c>
      <c r="C41" s="46" t="s">
        <v>271</v>
      </c>
      <c r="D41" s="48" t="s">
        <v>272</v>
      </c>
      <c r="E41" s="49" t="s">
        <v>273</v>
      </c>
      <c r="F41" s="46" t="s">
        <v>214</v>
      </c>
      <c r="G41" s="50" t="e">
        <f aca="false">ROUND(11*$H$3,0)</f>
        <v>#VALUE!</v>
      </c>
      <c r="H41" s="51" t="e">
        <f aca="false">$C$3+G41</f>
        <v>#VALUE!</v>
      </c>
      <c r="I41" s="52"/>
      <c r="J41" s="53" t="n">
        <f aca="false">IF(I41="Complete",1,IF(I41="Skipped",1,IF(I41="Blocked",0.5,IF(I41="In Progress",0.25,0))))</f>
        <v>0</v>
      </c>
      <c r="K41" s="54"/>
      <c r="L41" s="55"/>
      <c r="M41" s="56"/>
      <c r="N41" s="57" t="str">
        <f aca="false">IF(M41="","",M41-H41)</f>
        <v/>
      </c>
      <c r="O41" s="58" t="str">
        <f aca="false">IF(M41="","",ABS(M41-H41)*24)</f>
        <v/>
      </c>
      <c r="P41" s="46"/>
      <c r="Q41" s="59" t="s">
        <v>274</v>
      </c>
      <c r="R41" s="59" t="s">
        <v>275</v>
      </c>
      <c r="S41" s="59" t="s">
        <v>276</v>
      </c>
    </row>
    <row r="42" customFormat="false" ht="36" hidden="false" customHeight="true" outlineLevel="0" collapsed="false">
      <c r="A42" s="11" t="n">
        <v>37</v>
      </c>
      <c r="B42" s="64" t="s">
        <v>270</v>
      </c>
      <c r="C42" s="11" t="s">
        <v>277</v>
      </c>
      <c r="D42" s="65" t="s">
        <v>278</v>
      </c>
      <c r="E42" s="66" t="s">
        <v>279</v>
      </c>
      <c r="F42" s="11" t="s">
        <v>64</v>
      </c>
      <c r="G42" s="17" t="e">
        <f aca="false">ROUND(11*$H$3,0)</f>
        <v>#VALUE!</v>
      </c>
      <c r="H42" s="16" t="e">
        <f aca="false">$C$3+G42</f>
        <v>#VALUE!</v>
      </c>
      <c r="I42" s="52"/>
      <c r="J42" s="53" t="n">
        <f aca="false">IF(I42="Complete",1,IF(I42="Skipped",1,IF(I42="Blocked",0.5,IF(I42="In Progress",0.25,0))))</f>
        <v>0</v>
      </c>
      <c r="K42" s="54"/>
      <c r="L42" s="55"/>
      <c r="M42" s="56"/>
      <c r="N42" s="57" t="str">
        <f aca="false">IF(M42="","",M42-H42)</f>
        <v/>
      </c>
      <c r="O42" s="58" t="str">
        <f aca="false">IF(M42="","",ABS(M42-H42)*24)</f>
        <v/>
      </c>
      <c r="P42" s="11"/>
      <c r="Q42" s="67" t="s">
        <v>280</v>
      </c>
      <c r="R42" s="67" t="s">
        <v>281</v>
      </c>
      <c r="S42" s="67" t="s">
        <v>282</v>
      </c>
    </row>
    <row r="43" customFormat="false" ht="36" hidden="false" customHeight="true" outlineLevel="0" collapsed="false">
      <c r="A43" s="23" t="n">
        <v>38</v>
      </c>
      <c r="B43" s="60" t="s">
        <v>270</v>
      </c>
      <c r="C43" s="23" t="s">
        <v>283</v>
      </c>
      <c r="D43" s="61" t="s">
        <v>284</v>
      </c>
      <c r="E43" s="62" t="s">
        <v>285</v>
      </c>
      <c r="F43" s="23" t="s">
        <v>114</v>
      </c>
      <c r="G43" s="26" t="e">
        <f aca="false">ROUND(11*$H$3,0)</f>
        <v>#VALUE!</v>
      </c>
      <c r="H43" s="25" t="e">
        <f aca="false">$C$3+G43</f>
        <v>#VALUE!</v>
      </c>
      <c r="I43" s="52"/>
      <c r="J43" s="53" t="n">
        <f aca="false">IF(I43="Complete",1,IF(I43="Skipped",1,IF(I43="Blocked",0.5,IF(I43="In Progress",0.25,0))))</f>
        <v>0</v>
      </c>
      <c r="K43" s="54"/>
      <c r="L43" s="55"/>
      <c r="M43" s="56"/>
      <c r="N43" s="57" t="str">
        <f aca="false">IF(M43="","",M43-H43)</f>
        <v/>
      </c>
      <c r="O43" s="58" t="str">
        <f aca="false">IF(M43="","",ABS(M43-H43)*24)</f>
        <v/>
      </c>
      <c r="P43" s="23"/>
      <c r="Q43" s="63" t="s">
        <v>286</v>
      </c>
      <c r="R43" s="63" t="s">
        <v>287</v>
      </c>
      <c r="S43" s="63"/>
    </row>
    <row r="44" customFormat="false" ht="36" hidden="false" customHeight="true" outlineLevel="0" collapsed="false">
      <c r="A44" s="46" t="n">
        <v>39</v>
      </c>
      <c r="B44" s="47" t="s">
        <v>288</v>
      </c>
      <c r="C44" s="46" t="s">
        <v>289</v>
      </c>
      <c r="D44" s="48" t="s">
        <v>290</v>
      </c>
      <c r="E44" s="49" t="s">
        <v>291</v>
      </c>
      <c r="F44" s="46" t="s">
        <v>64</v>
      </c>
      <c r="G44" s="50" t="e">
        <f aca="false">ROUND(12*$H$3,0)</f>
        <v>#VALUE!</v>
      </c>
      <c r="H44" s="51" t="e">
        <f aca="false">$C$3+G44</f>
        <v>#VALUE!</v>
      </c>
      <c r="I44" s="52"/>
      <c r="J44" s="53" t="n">
        <f aca="false">IF(I44="Complete",1,IF(I44="Skipped",1,IF(I44="Blocked",0.5,IF(I44="In Progress",0.25,0))))</f>
        <v>0</v>
      </c>
      <c r="K44" s="54"/>
      <c r="L44" s="55"/>
      <c r="M44" s="56"/>
      <c r="N44" s="57" t="str">
        <f aca="false">IF(M44="","",M44-H44)</f>
        <v/>
      </c>
      <c r="O44" s="58" t="str">
        <f aca="false">IF(M44="","",ABS(M44-H44)*24)</f>
        <v/>
      </c>
      <c r="P44" s="46"/>
      <c r="Q44" s="59" t="s">
        <v>292</v>
      </c>
      <c r="R44" s="59" t="s">
        <v>293</v>
      </c>
      <c r="S44" s="59" t="s">
        <v>294</v>
      </c>
    </row>
    <row r="45" customFormat="false" ht="36" hidden="false" customHeight="true" outlineLevel="0" collapsed="false">
      <c r="A45" s="23" t="n">
        <v>40</v>
      </c>
      <c r="B45" s="60" t="s">
        <v>288</v>
      </c>
      <c r="C45" s="23" t="s">
        <v>295</v>
      </c>
      <c r="D45" s="61" t="s">
        <v>296</v>
      </c>
      <c r="E45" s="62" t="s">
        <v>297</v>
      </c>
      <c r="F45" s="23" t="s">
        <v>64</v>
      </c>
      <c r="G45" s="26" t="e">
        <f aca="false">ROUND(12*$H$3,0)</f>
        <v>#VALUE!</v>
      </c>
      <c r="H45" s="25" t="e">
        <f aca="false">$C$3+G45</f>
        <v>#VALUE!</v>
      </c>
      <c r="I45" s="52"/>
      <c r="J45" s="53" t="n">
        <f aca="false">IF(I45="Complete",1,IF(I45="Skipped",1,IF(I45="Blocked",0.5,IF(I45="In Progress",0.25,0))))</f>
        <v>0</v>
      </c>
      <c r="K45" s="54"/>
      <c r="L45" s="55"/>
      <c r="M45" s="56"/>
      <c r="N45" s="57" t="str">
        <f aca="false">IF(M45="","",M45-H45)</f>
        <v/>
      </c>
      <c r="O45" s="58" t="str">
        <f aca="false">IF(M45="","",ABS(M45-H45)*24)</f>
        <v/>
      </c>
      <c r="P45" s="23"/>
      <c r="Q45" s="63" t="s">
        <v>298</v>
      </c>
      <c r="R45" s="63" t="s">
        <v>299</v>
      </c>
      <c r="S45" s="63" t="s">
        <v>300</v>
      </c>
    </row>
    <row r="46" customFormat="false" ht="36" hidden="false" customHeight="true" outlineLevel="0" collapsed="false">
      <c r="A46" s="11" t="n">
        <v>41</v>
      </c>
      <c r="B46" s="64" t="s">
        <v>288</v>
      </c>
      <c r="C46" s="11" t="s">
        <v>301</v>
      </c>
      <c r="D46" s="65" t="s">
        <v>302</v>
      </c>
      <c r="E46" s="66" t="s">
        <v>303</v>
      </c>
      <c r="F46" s="11" t="s">
        <v>114</v>
      </c>
      <c r="G46" s="17" t="e">
        <f aca="false">ROUND(12*$H$3,0)</f>
        <v>#VALUE!</v>
      </c>
      <c r="H46" s="16" t="e">
        <f aca="false">$C$3+G46</f>
        <v>#VALUE!</v>
      </c>
      <c r="I46" s="52"/>
      <c r="J46" s="53" t="n">
        <f aca="false">IF(I46="Complete",1,IF(I46="Skipped",1,IF(I46="Blocked",0.5,IF(I46="In Progress",0.25,0))))</f>
        <v>0</v>
      </c>
      <c r="K46" s="54"/>
      <c r="L46" s="55"/>
      <c r="M46" s="56"/>
      <c r="N46" s="57" t="str">
        <f aca="false">IF(M46="","",M46-H46)</f>
        <v/>
      </c>
      <c r="O46" s="58" t="str">
        <f aca="false">IF(M46="","",ABS(M46-H46)*24)</f>
        <v/>
      </c>
      <c r="P46" s="11"/>
      <c r="Q46" s="67" t="s">
        <v>304</v>
      </c>
      <c r="R46" s="67" t="s">
        <v>305</v>
      </c>
      <c r="S46" s="67" t="s">
        <v>306</v>
      </c>
    </row>
    <row r="47" customFormat="false" ht="36" hidden="false" customHeight="true" outlineLevel="0" collapsed="false">
      <c r="A47" s="23" t="n">
        <v>42</v>
      </c>
      <c r="B47" s="60" t="s">
        <v>288</v>
      </c>
      <c r="C47" s="23" t="s">
        <v>307</v>
      </c>
      <c r="D47" s="61" t="s">
        <v>308</v>
      </c>
      <c r="E47" s="62" t="s">
        <v>309</v>
      </c>
      <c r="F47" s="23" t="s">
        <v>64</v>
      </c>
      <c r="G47" s="26" t="e">
        <f aca="false">ROUND(13*$H$3,0)</f>
        <v>#VALUE!</v>
      </c>
      <c r="H47" s="25" t="e">
        <f aca="false">$C$3+G47</f>
        <v>#VALUE!</v>
      </c>
      <c r="I47" s="52"/>
      <c r="J47" s="53" t="n">
        <f aca="false">IF(I47="Complete",1,IF(I47="Skipped",1,IF(I47="Blocked",0.5,IF(I47="In Progress",0.25,0))))</f>
        <v>0</v>
      </c>
      <c r="K47" s="54"/>
      <c r="L47" s="55"/>
      <c r="M47" s="56"/>
      <c r="N47" s="57" t="str">
        <f aca="false">IF(M47="","",M47-H47)</f>
        <v/>
      </c>
      <c r="O47" s="58" t="str">
        <f aca="false">IF(M47="","",ABS(M47-H47)*24)</f>
        <v/>
      </c>
      <c r="P47" s="23"/>
      <c r="Q47" s="63" t="s">
        <v>310</v>
      </c>
      <c r="R47" s="63" t="s">
        <v>311</v>
      </c>
      <c r="S47" s="63" t="s">
        <v>312</v>
      </c>
    </row>
    <row r="48" customFormat="false" ht="36" hidden="false" customHeight="true" outlineLevel="0" collapsed="false">
      <c r="A48" s="11" t="n">
        <v>43</v>
      </c>
      <c r="B48" s="64" t="s">
        <v>288</v>
      </c>
      <c r="C48" s="11" t="s">
        <v>313</v>
      </c>
      <c r="D48" s="65" t="s">
        <v>314</v>
      </c>
      <c r="E48" s="66" t="s">
        <v>315</v>
      </c>
      <c r="F48" s="11" t="s">
        <v>214</v>
      </c>
      <c r="G48" s="17" t="e">
        <f aca="false">ROUND(13*$H$3,0)</f>
        <v>#VALUE!</v>
      </c>
      <c r="H48" s="16" t="e">
        <f aca="false">$C$3+G48</f>
        <v>#VALUE!</v>
      </c>
      <c r="I48" s="52"/>
      <c r="J48" s="53" t="n">
        <f aca="false">IF(I48="Complete",1,IF(I48="Skipped",1,IF(I48="Blocked",0.5,IF(I48="In Progress",0.25,0))))</f>
        <v>0</v>
      </c>
      <c r="K48" s="54"/>
      <c r="L48" s="55"/>
      <c r="M48" s="56"/>
      <c r="N48" s="57" t="str">
        <f aca="false">IF(M48="","",M48-H48)</f>
        <v/>
      </c>
      <c r="O48" s="58" t="str">
        <f aca="false">IF(M48="","",ABS(M48-H48)*24)</f>
        <v/>
      </c>
      <c r="P48" s="11"/>
      <c r="Q48" s="67" t="s">
        <v>316</v>
      </c>
      <c r="R48" s="67" t="s">
        <v>317</v>
      </c>
      <c r="S48" s="67" t="s">
        <v>318</v>
      </c>
    </row>
    <row r="49" customFormat="false" ht="36" hidden="false" customHeight="true" outlineLevel="0" collapsed="false">
      <c r="A49" s="23" t="n">
        <v>44</v>
      </c>
      <c r="B49" s="60" t="s">
        <v>288</v>
      </c>
      <c r="C49" s="23" t="s">
        <v>319</v>
      </c>
      <c r="D49" s="61" t="s">
        <v>320</v>
      </c>
      <c r="E49" s="62" t="s">
        <v>321</v>
      </c>
      <c r="F49" s="23" t="s">
        <v>64</v>
      </c>
      <c r="G49" s="26" t="e">
        <f aca="false">ROUND(14*$H$3,0)</f>
        <v>#VALUE!</v>
      </c>
      <c r="H49" s="25" t="e">
        <f aca="false">$C$3+G49</f>
        <v>#VALUE!</v>
      </c>
      <c r="I49" s="52"/>
      <c r="J49" s="53" t="n">
        <f aca="false">IF(I49="Complete",1,IF(I49="Skipped",1,IF(I49="Blocked",0.5,IF(I49="In Progress",0.25,0))))</f>
        <v>0</v>
      </c>
      <c r="K49" s="54"/>
      <c r="L49" s="55"/>
      <c r="M49" s="56"/>
      <c r="N49" s="57" t="str">
        <f aca="false">IF(M49="","",M49-H49)</f>
        <v/>
      </c>
      <c r="O49" s="58" t="str">
        <f aca="false">IF(M49="","",ABS(M49-H49)*24)</f>
        <v/>
      </c>
      <c r="P49" s="23"/>
      <c r="Q49" s="63" t="s">
        <v>322</v>
      </c>
      <c r="R49" s="63" t="s">
        <v>323</v>
      </c>
      <c r="S49" s="63" t="s">
        <v>324</v>
      </c>
    </row>
    <row r="50" customFormat="false" ht="36" hidden="false" customHeight="true" outlineLevel="0" collapsed="false">
      <c r="A50" s="11" t="n">
        <v>45</v>
      </c>
      <c r="B50" s="64" t="s">
        <v>288</v>
      </c>
      <c r="C50" s="11" t="s">
        <v>325</v>
      </c>
      <c r="D50" s="65" t="s">
        <v>326</v>
      </c>
      <c r="E50" s="66" t="s">
        <v>327</v>
      </c>
      <c r="F50" s="11" t="s">
        <v>64</v>
      </c>
      <c r="G50" s="17" t="e">
        <f aca="false">ROUND(14*$H$3,0)</f>
        <v>#VALUE!</v>
      </c>
      <c r="H50" s="16" t="e">
        <f aca="false">$C$3+G50</f>
        <v>#VALUE!</v>
      </c>
      <c r="I50" s="52"/>
      <c r="J50" s="53" t="n">
        <f aca="false">IF(I50="Complete",1,IF(I50="Skipped",1,IF(I50="Blocked",0.5,IF(I50="In Progress",0.25,0))))</f>
        <v>0</v>
      </c>
      <c r="K50" s="54"/>
      <c r="L50" s="55"/>
      <c r="M50" s="56"/>
      <c r="N50" s="57" t="str">
        <f aca="false">IF(M50="","",M50-H50)</f>
        <v/>
      </c>
      <c r="O50" s="58" t="str">
        <f aca="false">IF(M50="","",ABS(M50-H50)*24)</f>
        <v/>
      </c>
      <c r="P50" s="11"/>
      <c r="Q50" s="67" t="s">
        <v>328</v>
      </c>
      <c r="R50" s="67" t="s">
        <v>66</v>
      </c>
      <c r="S50" s="67" t="s">
        <v>329</v>
      </c>
    </row>
    <row r="51" customFormat="false" ht="36" hidden="false" customHeight="true" outlineLevel="0" collapsed="false">
      <c r="A51" s="23" t="n">
        <v>46</v>
      </c>
      <c r="B51" s="60" t="s">
        <v>288</v>
      </c>
      <c r="C51" s="23" t="s">
        <v>330</v>
      </c>
      <c r="D51" s="61" t="s">
        <v>331</v>
      </c>
      <c r="E51" s="62" t="s">
        <v>332</v>
      </c>
      <c r="F51" s="23" t="s">
        <v>114</v>
      </c>
      <c r="G51" s="26" t="e">
        <f aca="false">ROUND(14*$H$3,0)</f>
        <v>#VALUE!</v>
      </c>
      <c r="H51" s="25" t="e">
        <f aca="false">$C$3+G51</f>
        <v>#VALUE!</v>
      </c>
      <c r="I51" s="52"/>
      <c r="J51" s="53" t="n">
        <f aca="false">IF(I51="Complete",1,IF(I51="Skipped",1,IF(I51="Blocked",0.5,IF(I51="In Progress",0.25,0))))</f>
        <v>0</v>
      </c>
      <c r="K51" s="54"/>
      <c r="L51" s="55"/>
      <c r="M51" s="56"/>
      <c r="N51" s="57" t="str">
        <f aca="false">IF(M51="","",M51-H51)</f>
        <v/>
      </c>
      <c r="O51" s="58" t="str">
        <f aca="false">IF(M51="","",ABS(M51-H51)*24)</f>
        <v/>
      </c>
      <c r="P51" s="23"/>
      <c r="Q51" s="63" t="s">
        <v>333</v>
      </c>
      <c r="R51" s="63" t="s">
        <v>116</v>
      </c>
      <c r="S51" s="63" t="s">
        <v>334</v>
      </c>
    </row>
    <row r="53" customFormat="false" ht="15" hidden="false" customHeight="true" outlineLevel="0" collapsed="false">
      <c r="A53" s="9" t="s">
        <v>335</v>
      </c>
      <c r="B53" s="9"/>
      <c r="C53" s="9"/>
      <c r="D53" s="9"/>
      <c r="E53" s="9"/>
      <c r="F53" s="9"/>
      <c r="G53" s="31"/>
      <c r="H53" s="31"/>
      <c r="I53" s="68" t="s">
        <v>336</v>
      </c>
      <c r="J53" s="69" t="n">
        <f aca="false">AVERAGE(J6:J51)</f>
        <v>0</v>
      </c>
      <c r="K53" s="31"/>
      <c r="L53" s="68" t="s">
        <v>337</v>
      </c>
      <c r="M53" s="9" t="n">
        <f aca="false">SUMPRODUCT((M6:M51&lt;&gt;"")*1)</f>
        <v>0</v>
      </c>
      <c r="N53" s="31"/>
      <c r="O53" s="33" t="n">
        <f aca="false">SUM(O6:O51)</f>
        <v>0</v>
      </c>
      <c r="P53" s="31"/>
      <c r="Q53" s="31"/>
      <c r="R53" s="31"/>
      <c r="S53" s="31"/>
    </row>
    <row r="54" customFormat="false" ht="15" hidden="false" customHeight="false" outlineLevel="0" collapsed="false">
      <c r="M54" s="70" t="s">
        <v>338</v>
      </c>
      <c r="N54" s="71" t="str">
        <f aca="false">IFERROR(AVERAGE(N6:N51),"")</f>
        <v/>
      </c>
    </row>
    <row r="55" customFormat="false" ht="15" hidden="false" customHeight="false" outlineLevel="0" collapsed="false">
      <c r="M55" s="70" t="s">
        <v>339</v>
      </c>
      <c r="N55" s="72" t="n">
        <f aca="false">IFERROR(MAX(N6:N51),"")</f>
        <v>0</v>
      </c>
    </row>
  </sheetData>
  <autoFilter ref="A5:S5"/>
  <mergeCells count="5">
    <mergeCell ref="A1:S1"/>
    <mergeCell ref="A3:B3"/>
    <mergeCell ref="E3:F3"/>
    <mergeCell ref="I3:J3"/>
    <mergeCell ref="A53:F53"/>
  </mergeCells>
  <conditionalFormatting sqref="I6:I51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0">
      <formula>"Skipped"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2">
      <formula>"In Progress"</formula>
    </cfRule>
  </conditionalFormatting>
  <conditionalFormatting sqref="J6:J51">
    <cfRule type="expression" priority="6" aboveAverage="0" equalAverage="0" bottom="0" percent="0" rank="0" text="" dxfId="14">
      <formula>$J6=1</formula>
    </cfRule>
    <cfRule type="expression" priority="7" aboveAverage="0" equalAverage="0" bottom="0" percent="0" rank="0" text="" dxfId="15">
      <formula>$J6&gt;=0.5</formula>
    </cfRule>
    <cfRule type="expression" priority="8" aboveAverage="0" equalAverage="0" bottom="0" percent="0" rank="0" text="" dxfId="16">
      <formula>$J6&gt;=0.25</formula>
    </cfRule>
  </conditionalFormatting>
  <conditionalFormatting sqref="K6:K51">
    <cfRule type="expression" priority="9" aboveAverage="0" equalAverage="0" bottom="0" percent="0" rank="0" text="" dxfId="17">
      <formula>AND($I6="Complete",$K6="")</formula>
    </cfRule>
    <cfRule type="expression" priority="10" aboveAverage="0" equalAverage="0" bottom="0" percent="0" rank="0" text="" dxfId="14">
      <formula>AND(OR($I6="Complete",$I6="Skipped"),$K6&lt;&gt;"")</formula>
    </cfRule>
  </conditionalFormatting>
  <conditionalFormatting sqref="L6:L51">
    <cfRule type="expression" priority="11" aboveAverage="0" equalAverage="0" bottom="0" percent="0" rank="0" text="" dxfId="17">
      <formula>AND($I6="Complete",$L6="")</formula>
    </cfRule>
    <cfRule type="expression" priority="12" aboveAverage="0" equalAverage="0" bottom="0" percent="0" rank="0" text="" dxfId="18">
      <formula>AND($I6="In Progress",$L6="")</formula>
    </cfRule>
  </conditionalFormatting>
  <conditionalFormatting sqref="M6:M51">
    <cfRule type="expression" priority="13" aboveAverage="0" equalAverage="0" bottom="0" percent="0" rank="0" text="" dxfId="17">
      <formula>AND($I6="Complete",$M6="")</formula>
    </cfRule>
    <cfRule type="expression" priority="14" aboveAverage="0" equalAverage="0" bottom="0" percent="0" rank="0" text="" dxfId="14">
      <formula>AND($I6="Complete",$M6&lt;&gt;"")</formula>
    </cfRule>
  </conditionalFormatting>
  <conditionalFormatting sqref="A6:S51">
    <cfRule type="expression" priority="15" aboveAverage="0" equalAverage="0" bottom="0" percent="0" rank="0" text="" dxfId="19">
      <formula>AND($M6&lt;&gt;"",$N6&gt;=5)</formula>
    </cfRule>
    <cfRule type="expression" priority="16" aboveAverage="0" equalAverage="0" bottom="0" percent="0" rank="0" text="" dxfId="19">
      <formula>AND($M6&lt;&gt;"",$N6&gt;=4)</formula>
    </cfRule>
    <cfRule type="expression" priority="17" aboveAverage="0" equalAverage="0" bottom="0" percent="0" rank="0" text="" dxfId="20">
      <formula>AND($M6&lt;&gt;"",$N6&gt;=3)</formula>
    </cfRule>
    <cfRule type="expression" priority="18" aboveAverage="0" equalAverage="0" bottom="0" percent="0" rank="0" text="" dxfId="20">
      <formula>AND($M6&lt;&gt;"",$N6&gt;=2)</formula>
    </cfRule>
    <cfRule type="expression" priority="19" aboveAverage="0" equalAverage="0" bottom="0" percent="0" rank="0" text="" dxfId="21">
      <formula>AND($M6&lt;&gt;"",$N6&gt;=1)</formula>
    </cfRule>
    <cfRule type="expression" priority="20" aboveAverage="0" equalAverage="0" bottom="0" percent="0" rank="0" text="" dxfId="22">
      <formula>AND($M6&lt;&gt;"",$N6&lt;=0)</formula>
    </cfRule>
  </conditionalFormatting>
  <conditionalFormatting sqref="N6:N51">
    <cfRule type="expression" priority="21" aboveAverage="0" equalAverage="0" bottom="0" percent="0" rank="0" text="" dxfId="23">
      <formula>AND($M6&lt;&gt;"",$N6&gt;=5)</formula>
    </cfRule>
    <cfRule type="expression" priority="22" aboveAverage="0" equalAverage="0" bottom="0" percent="0" rank="0" text="" dxfId="24">
      <formula>AND($M6&lt;&gt;"",$N6&gt;=3)</formula>
    </cfRule>
    <cfRule type="expression" priority="23" aboveAverage="0" equalAverage="0" bottom="0" percent="0" rank="0" text="" dxfId="25">
      <formula>AND($M6&lt;&gt;"",$N6&gt;=1)</formula>
    </cfRule>
    <cfRule type="expression" priority="24" aboveAverage="0" equalAverage="0" bottom="0" percent="0" rank="0" text="" dxfId="26">
      <formula>AND($M6&lt;&gt;"",$N6&lt;=0)</formula>
    </cfRule>
  </conditionalFormatting>
  <dataValidations count="3">
    <dataValidation allowBlank="true" errorStyle="stop" operator="between" prompt="Complete needs: sign-off name + report link + completed date" promptTitle="Status" showDropDown="false" showErrorMessage="false" showInputMessage="true" sqref="I6:I51" type="list">
      <formula1>"Not Started,In Progress,Blocked,Complete,Skipped"</formula1>
      <formula2>0</formula2>
    </dataValidation>
    <dataValidation allowBlank="true" errorStyle="stop" operator="between" prompt="Select team member" promptTitle="Sign Off" showDropDown="false" showErrorMessage="false" showInputMessage="true" sqref="K6:K51" type="list">
      <formula1>TeamMembers</formula1>
      <formula2>0</formula2>
    </dataValidation>
    <dataValidation allowBlank="true" error="Enter a valid date (YYYY-MM-DD)" errorStyle="stop" errorTitle="Invalid Date" operator="greaterThan" prompt="Type the completion date (YYYY-MM-DD)" promptTitle="Completed Date" showDropDown="false" showErrorMessage="true" showInputMessage="true" sqref="M6:M51" type="date">
      <formula1>2020-1-1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tru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4" min="14" style="0" width="7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46"/>
    <col collapsed="false" customWidth="true" hidden="false" outlineLevel="0" max="19" min="18" style="0" width="38"/>
  </cols>
  <sheetData>
    <row r="1" customFormat="false" ht="17.35" hidden="false" customHeight="false" outlineLevel="0" collapsed="false">
      <c r="A1" s="1" t="str">
        <f aca="false">IF(Config!B15&lt;&gt;"",Config!B15&amp;" — DNS, Certificate &amp; SSO Migration Runbook","Project 10 — Assign name on Config sheet")</f>
        <v>Project 10 — Assign name on Config sheet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27.75" hidden="false" customHeight="true" outlineLevel="0" collapsed="false">
      <c r="A3" s="35" t="s">
        <v>40</v>
      </c>
      <c r="B3" s="35"/>
      <c r="C3" s="36" t="n">
        <f aca="false">Config!C15</f>
        <v>0</v>
      </c>
      <c r="D3" s="35" t="s">
        <v>41</v>
      </c>
      <c r="E3" s="37" t="n">
        <f aca="false">Config!D15</f>
        <v>0</v>
      </c>
      <c r="F3" s="37"/>
      <c r="G3" s="35" t="s">
        <v>42</v>
      </c>
      <c r="H3" s="38" t="str">
        <f aca="false">Config!E15</f>
        <v/>
      </c>
      <c r="I3" s="35" t="s">
        <v>43</v>
      </c>
      <c r="J3" s="35"/>
      <c r="K3" s="36" t="str">
        <f aca="false">Config!F15</f>
        <v/>
      </c>
      <c r="L3" s="35" t="s">
        <v>44</v>
      </c>
      <c r="M3" s="39" t="str">
        <f aca="false">Config!G15</f>
        <v/>
      </c>
      <c r="N3" s="40"/>
      <c r="O3" s="40"/>
      <c r="P3" s="40"/>
      <c r="Q3" s="40"/>
      <c r="R3" s="40"/>
      <c r="S3" s="40"/>
    </row>
    <row r="5" customFormat="false" ht="35.05" hidden="false" customHeight="false" outlineLevel="0" collapsed="false">
      <c r="A5" s="9" t="s">
        <v>10</v>
      </c>
      <c r="B5" s="9" t="s">
        <v>45</v>
      </c>
      <c r="C5" s="9" t="s">
        <v>46</v>
      </c>
      <c r="D5" s="9" t="s">
        <v>47</v>
      </c>
      <c r="E5" s="9" t="s">
        <v>48</v>
      </c>
      <c r="F5" s="9" t="s">
        <v>49</v>
      </c>
      <c r="G5" s="9" t="s">
        <v>50</v>
      </c>
      <c r="H5" s="9" t="s">
        <v>51</v>
      </c>
      <c r="I5" s="41" t="s">
        <v>20</v>
      </c>
      <c r="J5" s="42" t="s">
        <v>17</v>
      </c>
      <c r="K5" s="43" t="s">
        <v>52</v>
      </c>
      <c r="L5" s="44" t="s">
        <v>53</v>
      </c>
      <c r="M5" s="45" t="s">
        <v>18</v>
      </c>
      <c r="N5" s="9" t="s">
        <v>54</v>
      </c>
      <c r="O5" s="9" t="s">
        <v>55</v>
      </c>
      <c r="P5" s="9" t="s">
        <v>56</v>
      </c>
      <c r="Q5" s="9" t="s">
        <v>57</v>
      </c>
      <c r="R5" s="9" t="s">
        <v>58</v>
      </c>
      <c r="S5" s="9" t="s">
        <v>59</v>
      </c>
    </row>
    <row r="6" customFormat="false" ht="36" hidden="false" customHeight="true" outlineLevel="0" collapsed="false">
      <c r="A6" s="46" t="n">
        <v>1</v>
      </c>
      <c r="B6" s="47" t="s">
        <v>60</v>
      </c>
      <c r="C6" s="46" t="s">
        <v>61</v>
      </c>
      <c r="D6" s="48" t="s">
        <v>62</v>
      </c>
      <c r="E6" s="49" t="s">
        <v>63</v>
      </c>
      <c r="F6" s="46" t="s">
        <v>64</v>
      </c>
      <c r="G6" s="50" t="e">
        <f aca="false">ROUND(0*$H$3,0)</f>
        <v>#VALUE!</v>
      </c>
      <c r="H6" s="51" t="e">
        <f aca="false">$C$3+G6</f>
        <v>#VALUE!</v>
      </c>
      <c r="I6" s="52"/>
      <c r="J6" s="53" t="n">
        <f aca="false">IF(I6="Complete",1,IF(I6="Skipped",1,IF(I6="Blocked",0.5,IF(I6="In Progress",0.25,0))))</f>
        <v>0</v>
      </c>
      <c r="K6" s="54"/>
      <c r="L6" s="55"/>
      <c r="M6" s="56"/>
      <c r="N6" s="57" t="str">
        <f aca="false">IF(M6="","",M6-H6)</f>
        <v/>
      </c>
      <c r="O6" s="58" t="str">
        <f aca="false">IF(M6="","",ABS(M6-H6)*24)</f>
        <v/>
      </c>
      <c r="P6" s="46"/>
      <c r="Q6" s="59" t="s">
        <v>65</v>
      </c>
      <c r="R6" s="59" t="s">
        <v>66</v>
      </c>
      <c r="S6" s="59" t="s">
        <v>67</v>
      </c>
    </row>
    <row r="7" customFormat="false" ht="36" hidden="false" customHeight="true" outlineLevel="0" collapsed="false">
      <c r="A7" s="23" t="n">
        <v>2</v>
      </c>
      <c r="B7" s="60" t="s">
        <v>60</v>
      </c>
      <c r="C7" s="23" t="s">
        <v>68</v>
      </c>
      <c r="D7" s="61" t="s">
        <v>69</v>
      </c>
      <c r="E7" s="62" t="s">
        <v>70</v>
      </c>
      <c r="F7" s="23" t="s">
        <v>64</v>
      </c>
      <c r="G7" s="26" t="e">
        <f aca="false">ROUND(0*$H$3,0)</f>
        <v>#VALUE!</v>
      </c>
      <c r="H7" s="25" t="e">
        <f aca="false">$C$3+G7</f>
        <v>#VALUE!</v>
      </c>
      <c r="I7" s="52"/>
      <c r="J7" s="53" t="n">
        <f aca="false">IF(I7="Complete",1,IF(I7="Skipped",1,IF(I7="Blocked",0.5,IF(I7="In Progress",0.25,0))))</f>
        <v>0</v>
      </c>
      <c r="K7" s="54"/>
      <c r="L7" s="55"/>
      <c r="M7" s="56"/>
      <c r="N7" s="57" t="str">
        <f aca="false">IF(M7="","",M7-H7)</f>
        <v/>
      </c>
      <c r="O7" s="58" t="str">
        <f aca="false">IF(M7="","",ABS(M7-H7)*24)</f>
        <v/>
      </c>
      <c r="P7" s="23"/>
      <c r="Q7" s="63" t="s">
        <v>71</v>
      </c>
      <c r="R7" s="63" t="s">
        <v>66</v>
      </c>
      <c r="S7" s="63" t="s">
        <v>72</v>
      </c>
    </row>
    <row r="8" customFormat="false" ht="36" hidden="false" customHeight="true" outlineLevel="0" collapsed="false">
      <c r="A8" s="11" t="n">
        <v>3</v>
      </c>
      <c r="B8" s="64" t="s">
        <v>60</v>
      </c>
      <c r="C8" s="11" t="s">
        <v>73</v>
      </c>
      <c r="D8" s="65" t="s">
        <v>74</v>
      </c>
      <c r="E8" s="66" t="s">
        <v>75</v>
      </c>
      <c r="F8" s="11" t="s">
        <v>64</v>
      </c>
      <c r="G8" s="17" t="e">
        <f aca="false">ROUND(0*$H$3,0)</f>
        <v>#VALUE!</v>
      </c>
      <c r="H8" s="16" t="e">
        <f aca="false">$C$3+G8</f>
        <v>#VALUE!</v>
      </c>
      <c r="I8" s="52"/>
      <c r="J8" s="53" t="n">
        <f aca="false">IF(I8="Complete",1,IF(I8="Skipped",1,IF(I8="Blocked",0.5,IF(I8="In Progress",0.25,0))))</f>
        <v>0</v>
      </c>
      <c r="K8" s="54"/>
      <c r="L8" s="55"/>
      <c r="M8" s="56"/>
      <c r="N8" s="57" t="str">
        <f aca="false">IF(M8="","",M8-H8)</f>
        <v/>
      </c>
      <c r="O8" s="58" t="str">
        <f aca="false">IF(M8="","",ABS(M8-H8)*24)</f>
        <v/>
      </c>
      <c r="P8" s="11"/>
      <c r="Q8" s="67" t="s">
        <v>76</v>
      </c>
      <c r="R8" s="67" t="s">
        <v>66</v>
      </c>
      <c r="S8" s="67" t="s">
        <v>77</v>
      </c>
    </row>
    <row r="9" customFormat="false" ht="36" hidden="false" customHeight="true" outlineLevel="0" collapsed="false">
      <c r="A9" s="23" t="n">
        <v>4</v>
      </c>
      <c r="B9" s="60" t="s">
        <v>60</v>
      </c>
      <c r="C9" s="23" t="s">
        <v>78</v>
      </c>
      <c r="D9" s="61" t="s">
        <v>79</v>
      </c>
      <c r="E9" s="62" t="s">
        <v>80</v>
      </c>
      <c r="F9" s="23" t="s">
        <v>64</v>
      </c>
      <c r="G9" s="26" t="e">
        <f aca="false">ROUND(1*$H$3,0)</f>
        <v>#VALUE!</v>
      </c>
      <c r="H9" s="25" t="e">
        <f aca="false">$C$3+G9</f>
        <v>#VALUE!</v>
      </c>
      <c r="I9" s="52"/>
      <c r="J9" s="53" t="n">
        <f aca="false">IF(I9="Complete",1,IF(I9="Skipped",1,IF(I9="Blocked",0.5,IF(I9="In Progress",0.25,0))))</f>
        <v>0</v>
      </c>
      <c r="K9" s="54"/>
      <c r="L9" s="55"/>
      <c r="M9" s="56"/>
      <c r="N9" s="57" t="str">
        <f aca="false">IF(M9="","",M9-H9)</f>
        <v/>
      </c>
      <c r="O9" s="58" t="str">
        <f aca="false">IF(M9="","",ABS(M9-H9)*24)</f>
        <v/>
      </c>
      <c r="P9" s="23"/>
      <c r="Q9" s="63" t="s">
        <v>81</v>
      </c>
      <c r="R9" s="63" t="s">
        <v>66</v>
      </c>
      <c r="S9" s="63" t="s">
        <v>82</v>
      </c>
    </row>
    <row r="10" customFormat="false" ht="36" hidden="false" customHeight="true" outlineLevel="0" collapsed="false">
      <c r="A10" s="11" t="n">
        <v>5</v>
      </c>
      <c r="B10" s="64" t="s">
        <v>60</v>
      </c>
      <c r="C10" s="11" t="s">
        <v>83</v>
      </c>
      <c r="D10" s="65" t="s">
        <v>84</v>
      </c>
      <c r="E10" s="66" t="s">
        <v>85</v>
      </c>
      <c r="F10" s="11" t="s">
        <v>64</v>
      </c>
      <c r="G10" s="17" t="e">
        <f aca="false">ROUND(1*$H$3,0)</f>
        <v>#VALUE!</v>
      </c>
      <c r="H10" s="16" t="e">
        <f aca="false">$C$3+G10</f>
        <v>#VALUE!</v>
      </c>
      <c r="I10" s="52"/>
      <c r="J10" s="53" t="n">
        <f aca="false">IF(I10="Complete",1,IF(I10="Skipped",1,IF(I10="Blocked",0.5,IF(I10="In Progress",0.25,0))))</f>
        <v>0</v>
      </c>
      <c r="K10" s="54"/>
      <c r="L10" s="55"/>
      <c r="M10" s="56"/>
      <c r="N10" s="57" t="str">
        <f aca="false">IF(M10="","",M10-H10)</f>
        <v/>
      </c>
      <c r="O10" s="58" t="str">
        <f aca="false">IF(M10="","",ABS(M10-H10)*24)</f>
        <v/>
      </c>
      <c r="P10" s="11"/>
      <c r="Q10" s="67" t="s">
        <v>86</v>
      </c>
      <c r="R10" s="67" t="s">
        <v>66</v>
      </c>
      <c r="S10" s="67" t="s">
        <v>87</v>
      </c>
    </row>
    <row r="11" customFormat="false" ht="36" hidden="false" customHeight="true" outlineLevel="0" collapsed="false">
      <c r="A11" s="23" t="n">
        <v>6</v>
      </c>
      <c r="B11" s="60" t="s">
        <v>60</v>
      </c>
      <c r="C11" s="23" t="s">
        <v>88</v>
      </c>
      <c r="D11" s="61" t="s">
        <v>89</v>
      </c>
      <c r="E11" s="62" t="s">
        <v>90</v>
      </c>
      <c r="F11" s="23" t="s">
        <v>64</v>
      </c>
      <c r="G11" s="26" t="e">
        <f aca="false">ROUND(1*$H$3,0)</f>
        <v>#VALUE!</v>
      </c>
      <c r="H11" s="25" t="e">
        <f aca="false">$C$3+G11</f>
        <v>#VALUE!</v>
      </c>
      <c r="I11" s="52"/>
      <c r="J11" s="53" t="n">
        <f aca="false">IF(I11="Complete",1,IF(I11="Skipped",1,IF(I11="Blocked",0.5,IF(I11="In Progress",0.25,0))))</f>
        <v>0</v>
      </c>
      <c r="K11" s="54"/>
      <c r="L11" s="55"/>
      <c r="M11" s="56"/>
      <c r="N11" s="57" t="str">
        <f aca="false">IF(M11="","",M11-H11)</f>
        <v/>
      </c>
      <c r="O11" s="58" t="str">
        <f aca="false">IF(M11="","",ABS(M11-H11)*24)</f>
        <v/>
      </c>
      <c r="P11" s="23"/>
      <c r="Q11" s="63" t="s">
        <v>91</v>
      </c>
      <c r="R11" s="63" t="s">
        <v>66</v>
      </c>
      <c r="S11" s="63" t="s">
        <v>92</v>
      </c>
    </row>
    <row r="12" customFormat="false" ht="36" hidden="false" customHeight="true" outlineLevel="0" collapsed="false">
      <c r="A12" s="11" t="n">
        <v>7</v>
      </c>
      <c r="B12" s="64" t="s">
        <v>60</v>
      </c>
      <c r="C12" s="11" t="s">
        <v>93</v>
      </c>
      <c r="D12" s="65" t="s">
        <v>94</v>
      </c>
      <c r="E12" s="66" t="s">
        <v>95</v>
      </c>
      <c r="F12" s="11" t="s">
        <v>96</v>
      </c>
      <c r="G12" s="17" t="e">
        <f aca="false">ROUND(1*$H$3,0)</f>
        <v>#VALUE!</v>
      </c>
      <c r="H12" s="16" t="e">
        <f aca="false">$C$3+G12</f>
        <v>#VALUE!</v>
      </c>
      <c r="I12" s="52"/>
      <c r="J12" s="53" t="n">
        <f aca="false">IF(I12="Complete",1,IF(I12="Skipped",1,IF(I12="Blocked",0.5,IF(I12="In Progress",0.25,0))))</f>
        <v>0</v>
      </c>
      <c r="K12" s="54"/>
      <c r="L12" s="55"/>
      <c r="M12" s="56"/>
      <c r="N12" s="57" t="str">
        <f aca="false">IF(M12="","",M12-H12)</f>
        <v/>
      </c>
      <c r="O12" s="58" t="str">
        <f aca="false">IF(M12="","",ABS(M12-H12)*24)</f>
        <v/>
      </c>
      <c r="P12" s="11"/>
      <c r="Q12" s="67" t="s">
        <v>97</v>
      </c>
      <c r="R12" s="67" t="s">
        <v>66</v>
      </c>
      <c r="S12" s="67" t="s">
        <v>98</v>
      </c>
    </row>
    <row r="13" customFormat="false" ht="36" hidden="false" customHeight="true" outlineLevel="0" collapsed="false">
      <c r="A13" s="23" t="n">
        <v>8</v>
      </c>
      <c r="B13" s="60" t="s">
        <v>60</v>
      </c>
      <c r="C13" s="23" t="s">
        <v>99</v>
      </c>
      <c r="D13" s="61" t="s">
        <v>100</v>
      </c>
      <c r="E13" s="62" t="s">
        <v>101</v>
      </c>
      <c r="F13" s="23" t="s">
        <v>64</v>
      </c>
      <c r="G13" s="26" t="e">
        <f aca="false">ROUND(1*$H$3,0)</f>
        <v>#VALUE!</v>
      </c>
      <c r="H13" s="25" t="e">
        <f aca="false">$C$3+G13</f>
        <v>#VALUE!</v>
      </c>
      <c r="I13" s="52"/>
      <c r="J13" s="53" t="n">
        <f aca="false">IF(I13="Complete",1,IF(I13="Skipped",1,IF(I13="Blocked",0.5,IF(I13="In Progress",0.25,0))))</f>
        <v>0</v>
      </c>
      <c r="K13" s="54"/>
      <c r="L13" s="55"/>
      <c r="M13" s="56"/>
      <c r="N13" s="57" t="str">
        <f aca="false">IF(M13="","",M13-H13)</f>
        <v/>
      </c>
      <c r="O13" s="58" t="str">
        <f aca="false">IF(M13="","",ABS(M13-H13)*24)</f>
        <v/>
      </c>
      <c r="P13" s="23"/>
      <c r="Q13" s="63" t="s">
        <v>102</v>
      </c>
      <c r="R13" s="63" t="s">
        <v>103</v>
      </c>
      <c r="S13" s="63" t="s">
        <v>104</v>
      </c>
    </row>
    <row r="14" customFormat="false" ht="36" hidden="false" customHeight="true" outlineLevel="0" collapsed="false">
      <c r="A14" s="11" t="n">
        <v>9</v>
      </c>
      <c r="B14" s="64" t="s">
        <v>60</v>
      </c>
      <c r="C14" s="11" t="s">
        <v>105</v>
      </c>
      <c r="D14" s="65" t="s">
        <v>106</v>
      </c>
      <c r="E14" s="66" t="s">
        <v>107</v>
      </c>
      <c r="F14" s="11" t="s">
        <v>64</v>
      </c>
      <c r="G14" s="17" t="e">
        <f aca="false">ROUND(2*$H$3,0)</f>
        <v>#VALUE!</v>
      </c>
      <c r="H14" s="16" t="e">
        <f aca="false">$C$3+G14</f>
        <v>#VALUE!</v>
      </c>
      <c r="I14" s="52"/>
      <c r="J14" s="53" t="n">
        <f aca="false">IF(I14="Complete",1,IF(I14="Skipped",1,IF(I14="Blocked",0.5,IF(I14="In Progress",0.25,0))))</f>
        <v>0</v>
      </c>
      <c r="K14" s="54"/>
      <c r="L14" s="55"/>
      <c r="M14" s="56"/>
      <c r="N14" s="57" t="str">
        <f aca="false">IF(M14="","",M14-H14)</f>
        <v/>
      </c>
      <c r="O14" s="58" t="str">
        <f aca="false">IF(M14="","",ABS(M14-H14)*24)</f>
        <v/>
      </c>
      <c r="P14" s="11"/>
      <c r="Q14" s="67" t="s">
        <v>108</v>
      </c>
      <c r="R14" s="67" t="s">
        <v>109</v>
      </c>
      <c r="S14" s="67" t="s">
        <v>110</v>
      </c>
    </row>
    <row r="15" customFormat="false" ht="36" hidden="false" customHeight="true" outlineLevel="0" collapsed="false">
      <c r="A15" s="23" t="n">
        <v>10</v>
      </c>
      <c r="B15" s="60" t="s">
        <v>60</v>
      </c>
      <c r="C15" s="23" t="s">
        <v>111</v>
      </c>
      <c r="D15" s="61" t="s">
        <v>112</v>
      </c>
      <c r="E15" s="62" t="s">
        <v>113</v>
      </c>
      <c r="F15" s="23" t="s">
        <v>114</v>
      </c>
      <c r="G15" s="26" t="e">
        <f aca="false">ROUND(2*$H$3,0)</f>
        <v>#VALUE!</v>
      </c>
      <c r="H15" s="25" t="e">
        <f aca="false">$C$3+G15</f>
        <v>#VALUE!</v>
      </c>
      <c r="I15" s="52"/>
      <c r="J15" s="53" t="n">
        <f aca="false">IF(I15="Complete",1,IF(I15="Skipped",1,IF(I15="Blocked",0.5,IF(I15="In Progress",0.25,0))))</f>
        <v>0</v>
      </c>
      <c r="K15" s="54"/>
      <c r="L15" s="55"/>
      <c r="M15" s="56"/>
      <c r="N15" s="57" t="str">
        <f aca="false">IF(M15="","",M15-H15)</f>
        <v/>
      </c>
      <c r="O15" s="58" t="str">
        <f aca="false">IF(M15="","",ABS(M15-H15)*24)</f>
        <v/>
      </c>
      <c r="P15" s="23"/>
      <c r="Q15" s="63" t="s">
        <v>115</v>
      </c>
      <c r="R15" s="63" t="s">
        <v>116</v>
      </c>
      <c r="S15" s="63" t="s">
        <v>117</v>
      </c>
    </row>
    <row r="16" customFormat="false" ht="36" hidden="false" customHeight="true" outlineLevel="0" collapsed="false">
      <c r="A16" s="46" t="n">
        <v>11</v>
      </c>
      <c r="B16" s="47" t="s">
        <v>118</v>
      </c>
      <c r="C16" s="46" t="s">
        <v>119</v>
      </c>
      <c r="D16" s="48" t="s">
        <v>120</v>
      </c>
      <c r="E16" s="49" t="s">
        <v>121</v>
      </c>
      <c r="F16" s="46" t="s">
        <v>64</v>
      </c>
      <c r="G16" s="50" t="e">
        <f aca="false">ROUND(3*$H$3,0)</f>
        <v>#VALUE!</v>
      </c>
      <c r="H16" s="51" t="e">
        <f aca="false">$C$3+G16</f>
        <v>#VALUE!</v>
      </c>
      <c r="I16" s="52"/>
      <c r="J16" s="53" t="n">
        <f aca="false">IF(I16="Complete",1,IF(I16="Skipped",1,IF(I16="Blocked",0.5,IF(I16="In Progress",0.25,0))))</f>
        <v>0</v>
      </c>
      <c r="K16" s="54"/>
      <c r="L16" s="55"/>
      <c r="M16" s="56"/>
      <c r="N16" s="57" t="str">
        <f aca="false">IF(M16="","",M16-H16)</f>
        <v/>
      </c>
      <c r="O16" s="58" t="str">
        <f aca="false">IF(M16="","",ABS(M16-H16)*24)</f>
        <v/>
      </c>
      <c r="P16" s="46"/>
      <c r="Q16" s="59" t="s">
        <v>122</v>
      </c>
      <c r="R16" s="59" t="s">
        <v>123</v>
      </c>
      <c r="S16" s="59" t="s">
        <v>124</v>
      </c>
    </row>
    <row r="17" customFormat="false" ht="36" hidden="false" customHeight="true" outlineLevel="0" collapsed="false">
      <c r="A17" s="23" t="n">
        <v>12</v>
      </c>
      <c r="B17" s="60" t="s">
        <v>118</v>
      </c>
      <c r="C17" s="23" t="s">
        <v>125</v>
      </c>
      <c r="D17" s="61" t="s">
        <v>126</v>
      </c>
      <c r="E17" s="62" t="s">
        <v>127</v>
      </c>
      <c r="F17" s="23" t="s">
        <v>64</v>
      </c>
      <c r="G17" s="26" t="e">
        <f aca="false">ROUND(3*$H$3,0)</f>
        <v>#VALUE!</v>
      </c>
      <c r="H17" s="25" t="e">
        <f aca="false">$C$3+G17</f>
        <v>#VALUE!</v>
      </c>
      <c r="I17" s="52"/>
      <c r="J17" s="53" t="n">
        <f aca="false">IF(I17="Complete",1,IF(I17="Skipped",1,IF(I17="Blocked",0.5,IF(I17="In Progress",0.25,0))))</f>
        <v>0</v>
      </c>
      <c r="K17" s="54"/>
      <c r="L17" s="55"/>
      <c r="M17" s="56"/>
      <c r="N17" s="57" t="str">
        <f aca="false">IF(M17="","",M17-H17)</f>
        <v/>
      </c>
      <c r="O17" s="58" t="str">
        <f aca="false">IF(M17="","",ABS(M17-H17)*24)</f>
        <v/>
      </c>
      <c r="P17" s="23"/>
      <c r="Q17" s="63" t="s">
        <v>128</v>
      </c>
      <c r="R17" s="63" t="s">
        <v>129</v>
      </c>
      <c r="S17" s="63" t="s">
        <v>130</v>
      </c>
    </row>
    <row r="18" customFormat="false" ht="36" hidden="false" customHeight="true" outlineLevel="0" collapsed="false">
      <c r="A18" s="11" t="n">
        <v>13</v>
      </c>
      <c r="B18" s="64" t="s">
        <v>118</v>
      </c>
      <c r="C18" s="11" t="s">
        <v>131</v>
      </c>
      <c r="D18" s="65" t="s">
        <v>132</v>
      </c>
      <c r="E18" s="66" t="s">
        <v>133</v>
      </c>
      <c r="F18" s="11" t="s">
        <v>64</v>
      </c>
      <c r="G18" s="17" t="e">
        <f aca="false">ROUND(3*$H$3,0)</f>
        <v>#VALUE!</v>
      </c>
      <c r="H18" s="16" t="e">
        <f aca="false">$C$3+G18</f>
        <v>#VALUE!</v>
      </c>
      <c r="I18" s="52"/>
      <c r="J18" s="53" t="n">
        <f aca="false">IF(I18="Complete",1,IF(I18="Skipped",1,IF(I18="Blocked",0.5,IF(I18="In Progress",0.25,0))))</f>
        <v>0</v>
      </c>
      <c r="K18" s="54"/>
      <c r="L18" s="55"/>
      <c r="M18" s="56"/>
      <c r="N18" s="57" t="str">
        <f aca="false">IF(M18="","",M18-H18)</f>
        <v/>
      </c>
      <c r="O18" s="58" t="str">
        <f aca="false">IF(M18="","",ABS(M18-H18)*24)</f>
        <v/>
      </c>
      <c r="P18" s="11"/>
      <c r="Q18" s="67" t="s">
        <v>134</v>
      </c>
      <c r="R18" s="67" t="s">
        <v>135</v>
      </c>
      <c r="S18" s="67" t="s">
        <v>136</v>
      </c>
    </row>
    <row r="19" customFormat="false" ht="36" hidden="false" customHeight="true" outlineLevel="0" collapsed="false">
      <c r="A19" s="23" t="n">
        <v>14</v>
      </c>
      <c r="B19" s="60" t="s">
        <v>118</v>
      </c>
      <c r="C19" s="23" t="s">
        <v>137</v>
      </c>
      <c r="D19" s="61" t="s">
        <v>138</v>
      </c>
      <c r="E19" s="62" t="s">
        <v>139</v>
      </c>
      <c r="F19" s="23" t="s">
        <v>64</v>
      </c>
      <c r="G19" s="26" t="e">
        <f aca="false">ROUND(3*$H$3,0)</f>
        <v>#VALUE!</v>
      </c>
      <c r="H19" s="25" t="e">
        <f aca="false">$C$3+G19</f>
        <v>#VALUE!</v>
      </c>
      <c r="I19" s="52"/>
      <c r="J19" s="53" t="n">
        <f aca="false">IF(I19="Complete",1,IF(I19="Skipped",1,IF(I19="Blocked",0.5,IF(I19="In Progress",0.25,0))))</f>
        <v>0</v>
      </c>
      <c r="K19" s="54"/>
      <c r="L19" s="55"/>
      <c r="M19" s="56"/>
      <c r="N19" s="57" t="str">
        <f aca="false">IF(M19="","",M19-H19)</f>
        <v/>
      </c>
      <c r="O19" s="58" t="str">
        <f aca="false">IF(M19="","",ABS(M19-H19)*24)</f>
        <v/>
      </c>
      <c r="P19" s="23"/>
      <c r="Q19" s="63" t="s">
        <v>140</v>
      </c>
      <c r="R19" s="63" t="s">
        <v>141</v>
      </c>
      <c r="S19" s="63" t="s">
        <v>142</v>
      </c>
    </row>
    <row r="20" customFormat="false" ht="36" hidden="false" customHeight="true" outlineLevel="0" collapsed="false">
      <c r="A20" s="11" t="n">
        <v>15</v>
      </c>
      <c r="B20" s="64" t="s">
        <v>118</v>
      </c>
      <c r="C20" s="11" t="s">
        <v>143</v>
      </c>
      <c r="D20" s="65" t="s">
        <v>144</v>
      </c>
      <c r="E20" s="66" t="s">
        <v>145</v>
      </c>
      <c r="F20" s="11" t="s">
        <v>64</v>
      </c>
      <c r="G20" s="17" t="e">
        <f aca="false">ROUND(3*$H$3,0)</f>
        <v>#VALUE!</v>
      </c>
      <c r="H20" s="16" t="e">
        <f aca="false">$C$3+G20</f>
        <v>#VALUE!</v>
      </c>
      <c r="I20" s="52"/>
      <c r="J20" s="53" t="n">
        <f aca="false">IF(I20="Complete",1,IF(I20="Skipped",1,IF(I20="Blocked",0.5,IF(I20="In Progress",0.25,0))))</f>
        <v>0</v>
      </c>
      <c r="K20" s="54"/>
      <c r="L20" s="55"/>
      <c r="M20" s="56"/>
      <c r="N20" s="57" t="str">
        <f aca="false">IF(M20="","",M20-H20)</f>
        <v/>
      </c>
      <c r="O20" s="58" t="str">
        <f aca="false">IF(M20="","",ABS(M20-H20)*24)</f>
        <v/>
      </c>
      <c r="P20" s="11"/>
      <c r="Q20" s="67" t="s">
        <v>146</v>
      </c>
      <c r="R20" s="67" t="s">
        <v>147</v>
      </c>
      <c r="S20" s="67" t="s">
        <v>148</v>
      </c>
    </row>
    <row r="21" customFormat="false" ht="36" hidden="false" customHeight="true" outlineLevel="0" collapsed="false">
      <c r="A21" s="23" t="n">
        <v>16</v>
      </c>
      <c r="B21" s="60" t="s">
        <v>118</v>
      </c>
      <c r="C21" s="23" t="s">
        <v>149</v>
      </c>
      <c r="D21" s="61" t="s">
        <v>150</v>
      </c>
      <c r="E21" s="62" t="s">
        <v>151</v>
      </c>
      <c r="F21" s="23" t="s">
        <v>152</v>
      </c>
      <c r="G21" s="26" t="e">
        <f aca="false">ROUND(3*$H$3,0)</f>
        <v>#VALUE!</v>
      </c>
      <c r="H21" s="25" t="e">
        <f aca="false">$C$3+G21</f>
        <v>#VALUE!</v>
      </c>
      <c r="I21" s="52"/>
      <c r="J21" s="53" t="n">
        <f aca="false">IF(I21="Complete",1,IF(I21="Skipped",1,IF(I21="Blocked",0.5,IF(I21="In Progress",0.25,0))))</f>
        <v>0</v>
      </c>
      <c r="K21" s="54"/>
      <c r="L21" s="55"/>
      <c r="M21" s="56"/>
      <c r="N21" s="57" t="str">
        <f aca="false">IF(M21="","",M21-H21)</f>
        <v/>
      </c>
      <c r="O21" s="58" t="str">
        <f aca="false">IF(M21="","",ABS(M21-H21)*24)</f>
        <v/>
      </c>
      <c r="P21" s="23"/>
      <c r="Q21" s="63" t="s">
        <v>153</v>
      </c>
      <c r="R21" s="63" t="s">
        <v>154</v>
      </c>
      <c r="S21" s="63" t="s">
        <v>155</v>
      </c>
    </row>
    <row r="22" customFormat="false" ht="36" hidden="false" customHeight="true" outlineLevel="0" collapsed="false">
      <c r="A22" s="46" t="n">
        <v>17</v>
      </c>
      <c r="B22" s="47" t="s">
        <v>156</v>
      </c>
      <c r="C22" s="46" t="s">
        <v>157</v>
      </c>
      <c r="D22" s="48" t="s">
        <v>158</v>
      </c>
      <c r="E22" s="49" t="s">
        <v>159</v>
      </c>
      <c r="F22" s="46" t="s">
        <v>64</v>
      </c>
      <c r="G22" s="50" t="e">
        <f aca="false">ROUND(4*$H$3,0)</f>
        <v>#VALUE!</v>
      </c>
      <c r="H22" s="51" t="e">
        <f aca="false">$C$3+G22</f>
        <v>#VALUE!</v>
      </c>
      <c r="I22" s="52"/>
      <c r="J22" s="53" t="n">
        <f aca="false">IF(I22="Complete",1,IF(I22="Skipped",1,IF(I22="Blocked",0.5,IF(I22="In Progress",0.25,0))))</f>
        <v>0</v>
      </c>
      <c r="K22" s="54"/>
      <c r="L22" s="55"/>
      <c r="M22" s="56"/>
      <c r="N22" s="57" t="str">
        <f aca="false">IF(M22="","",M22-H22)</f>
        <v/>
      </c>
      <c r="O22" s="58" t="str">
        <f aca="false">IF(M22="","",ABS(M22-H22)*24)</f>
        <v/>
      </c>
      <c r="P22" s="46"/>
      <c r="Q22" s="59" t="s">
        <v>160</v>
      </c>
      <c r="R22" s="59" t="s">
        <v>161</v>
      </c>
      <c r="S22" s="59" t="s">
        <v>162</v>
      </c>
    </row>
    <row r="23" customFormat="false" ht="36" hidden="false" customHeight="true" outlineLevel="0" collapsed="false">
      <c r="A23" s="23" t="n">
        <v>18</v>
      </c>
      <c r="B23" s="60" t="s">
        <v>156</v>
      </c>
      <c r="C23" s="23" t="s">
        <v>163</v>
      </c>
      <c r="D23" s="61" t="s">
        <v>164</v>
      </c>
      <c r="E23" s="62" t="s">
        <v>165</v>
      </c>
      <c r="F23" s="23" t="s">
        <v>64</v>
      </c>
      <c r="G23" s="26" t="e">
        <f aca="false">ROUND(4*$H$3,0)</f>
        <v>#VALUE!</v>
      </c>
      <c r="H23" s="25" t="e">
        <f aca="false">$C$3+G23</f>
        <v>#VALUE!</v>
      </c>
      <c r="I23" s="52"/>
      <c r="J23" s="53" t="n">
        <f aca="false">IF(I23="Complete",1,IF(I23="Skipped",1,IF(I23="Blocked",0.5,IF(I23="In Progress",0.25,0))))</f>
        <v>0</v>
      </c>
      <c r="K23" s="54"/>
      <c r="L23" s="55"/>
      <c r="M23" s="56"/>
      <c r="N23" s="57" t="str">
        <f aca="false">IF(M23="","",M23-H23)</f>
        <v/>
      </c>
      <c r="O23" s="58" t="str">
        <f aca="false">IF(M23="","",ABS(M23-H23)*24)</f>
        <v/>
      </c>
      <c r="P23" s="23"/>
      <c r="Q23" s="63" t="s">
        <v>166</v>
      </c>
      <c r="R23" s="63" t="s">
        <v>167</v>
      </c>
      <c r="S23" s="63"/>
    </row>
    <row r="24" customFormat="false" ht="36" hidden="false" customHeight="true" outlineLevel="0" collapsed="false">
      <c r="A24" s="11" t="n">
        <v>19</v>
      </c>
      <c r="B24" s="64" t="s">
        <v>156</v>
      </c>
      <c r="C24" s="11" t="s">
        <v>168</v>
      </c>
      <c r="D24" s="65" t="s">
        <v>169</v>
      </c>
      <c r="E24" s="66" t="s">
        <v>170</v>
      </c>
      <c r="F24" s="11" t="s">
        <v>64</v>
      </c>
      <c r="G24" s="17" t="e">
        <f aca="false">ROUND(4*$H$3,0)</f>
        <v>#VALUE!</v>
      </c>
      <c r="H24" s="16" t="e">
        <f aca="false">$C$3+G24</f>
        <v>#VALUE!</v>
      </c>
      <c r="I24" s="52"/>
      <c r="J24" s="53" t="n">
        <f aca="false">IF(I24="Complete",1,IF(I24="Skipped",1,IF(I24="Blocked",0.5,IF(I24="In Progress",0.25,0))))</f>
        <v>0</v>
      </c>
      <c r="K24" s="54"/>
      <c r="L24" s="55"/>
      <c r="M24" s="56"/>
      <c r="N24" s="57" t="str">
        <f aca="false">IF(M24="","",M24-H24)</f>
        <v/>
      </c>
      <c r="O24" s="58" t="str">
        <f aca="false">IF(M24="","",ABS(M24-H24)*24)</f>
        <v/>
      </c>
      <c r="P24" s="11"/>
      <c r="Q24" s="67" t="s">
        <v>171</v>
      </c>
      <c r="R24" s="67" t="s">
        <v>172</v>
      </c>
      <c r="S24" s="67" t="s">
        <v>173</v>
      </c>
    </row>
    <row r="25" customFormat="false" ht="36" hidden="false" customHeight="true" outlineLevel="0" collapsed="false">
      <c r="A25" s="23" t="n">
        <v>20</v>
      </c>
      <c r="B25" s="60" t="s">
        <v>156</v>
      </c>
      <c r="C25" s="23" t="s">
        <v>174</v>
      </c>
      <c r="D25" s="61" t="s">
        <v>175</v>
      </c>
      <c r="E25" s="62" t="s">
        <v>176</v>
      </c>
      <c r="F25" s="23" t="s">
        <v>64</v>
      </c>
      <c r="G25" s="26" t="e">
        <f aca="false">ROUND(4*$H$3,0)</f>
        <v>#VALUE!</v>
      </c>
      <c r="H25" s="25" t="e">
        <f aca="false">$C$3+G25</f>
        <v>#VALUE!</v>
      </c>
      <c r="I25" s="52"/>
      <c r="J25" s="53" t="n">
        <f aca="false">IF(I25="Complete",1,IF(I25="Skipped",1,IF(I25="Blocked",0.5,IF(I25="In Progress",0.25,0))))</f>
        <v>0</v>
      </c>
      <c r="K25" s="54"/>
      <c r="L25" s="55"/>
      <c r="M25" s="56"/>
      <c r="N25" s="57" t="str">
        <f aca="false">IF(M25="","",M25-H25)</f>
        <v/>
      </c>
      <c r="O25" s="58" t="str">
        <f aca="false">IF(M25="","",ABS(M25-H25)*24)</f>
        <v/>
      </c>
      <c r="P25" s="23"/>
      <c r="Q25" s="63" t="s">
        <v>177</v>
      </c>
      <c r="R25" s="63" t="s">
        <v>178</v>
      </c>
      <c r="S25" s="63" t="s">
        <v>179</v>
      </c>
    </row>
    <row r="26" customFormat="false" ht="36" hidden="false" customHeight="true" outlineLevel="0" collapsed="false">
      <c r="A26" s="11" t="n">
        <v>21</v>
      </c>
      <c r="B26" s="64" t="s">
        <v>156</v>
      </c>
      <c r="C26" s="11" t="s">
        <v>180</v>
      </c>
      <c r="D26" s="65" t="s">
        <v>181</v>
      </c>
      <c r="E26" s="66" t="s">
        <v>182</v>
      </c>
      <c r="F26" s="11" t="s">
        <v>64</v>
      </c>
      <c r="G26" s="17" t="e">
        <f aca="false">ROUND(4*$H$3,0)</f>
        <v>#VALUE!</v>
      </c>
      <c r="H26" s="16" t="e">
        <f aca="false">$C$3+G26</f>
        <v>#VALUE!</v>
      </c>
      <c r="I26" s="52"/>
      <c r="J26" s="53" t="n">
        <f aca="false">IF(I26="Complete",1,IF(I26="Skipped",1,IF(I26="Blocked",0.5,IF(I26="In Progress",0.25,0))))</f>
        <v>0</v>
      </c>
      <c r="K26" s="54"/>
      <c r="L26" s="55"/>
      <c r="M26" s="56"/>
      <c r="N26" s="57" t="str">
        <f aca="false">IF(M26="","",M26-H26)</f>
        <v/>
      </c>
      <c r="O26" s="58" t="str">
        <f aca="false">IF(M26="","",ABS(M26-H26)*24)</f>
        <v/>
      </c>
      <c r="P26" s="11"/>
      <c r="Q26" s="67" t="s">
        <v>183</v>
      </c>
      <c r="R26" s="67" t="s">
        <v>184</v>
      </c>
      <c r="S26" s="67" t="s">
        <v>185</v>
      </c>
    </row>
    <row r="27" customFormat="false" ht="36" hidden="false" customHeight="true" outlineLevel="0" collapsed="false">
      <c r="A27" s="23" t="n">
        <v>22</v>
      </c>
      <c r="B27" s="60" t="s">
        <v>156</v>
      </c>
      <c r="C27" s="23" t="s">
        <v>186</v>
      </c>
      <c r="D27" s="61" t="s">
        <v>187</v>
      </c>
      <c r="E27" s="62" t="s">
        <v>188</v>
      </c>
      <c r="F27" s="23" t="s">
        <v>64</v>
      </c>
      <c r="G27" s="26" t="e">
        <f aca="false">ROUND(4*$H$3,0)</f>
        <v>#VALUE!</v>
      </c>
      <c r="H27" s="25" t="e">
        <f aca="false">$C$3+G27</f>
        <v>#VALUE!</v>
      </c>
      <c r="I27" s="52"/>
      <c r="J27" s="53" t="n">
        <f aca="false">IF(I27="Complete",1,IF(I27="Skipped",1,IF(I27="Blocked",0.5,IF(I27="In Progress",0.25,0))))</f>
        <v>0</v>
      </c>
      <c r="K27" s="54"/>
      <c r="L27" s="55"/>
      <c r="M27" s="56"/>
      <c r="N27" s="57" t="str">
        <f aca="false">IF(M27="","",M27-H27)</f>
        <v/>
      </c>
      <c r="O27" s="58" t="str">
        <f aca="false">IF(M27="","",ABS(M27-H27)*24)</f>
        <v/>
      </c>
      <c r="P27" s="23"/>
      <c r="Q27" s="63" t="s">
        <v>189</v>
      </c>
      <c r="R27" s="63" t="s">
        <v>190</v>
      </c>
      <c r="S27" s="63" t="s">
        <v>191</v>
      </c>
    </row>
    <row r="28" customFormat="false" ht="36" hidden="false" customHeight="true" outlineLevel="0" collapsed="false">
      <c r="A28" s="11" t="n">
        <v>23</v>
      </c>
      <c r="B28" s="64" t="s">
        <v>156</v>
      </c>
      <c r="C28" s="11" t="s">
        <v>192</v>
      </c>
      <c r="D28" s="65" t="s">
        <v>193</v>
      </c>
      <c r="E28" s="66" t="s">
        <v>194</v>
      </c>
      <c r="F28" s="11" t="s">
        <v>64</v>
      </c>
      <c r="G28" s="17" t="e">
        <f aca="false">ROUND(5*$H$3,0)</f>
        <v>#VALUE!</v>
      </c>
      <c r="H28" s="16" t="e">
        <f aca="false">$C$3+G28</f>
        <v>#VALUE!</v>
      </c>
      <c r="I28" s="52"/>
      <c r="J28" s="53" t="n">
        <f aca="false">IF(I28="Complete",1,IF(I28="Skipped",1,IF(I28="Blocked",0.5,IF(I28="In Progress",0.25,0))))</f>
        <v>0</v>
      </c>
      <c r="K28" s="54"/>
      <c r="L28" s="55"/>
      <c r="M28" s="56"/>
      <c r="N28" s="57" t="str">
        <f aca="false">IF(M28="","",M28-H28)</f>
        <v/>
      </c>
      <c r="O28" s="58" t="str">
        <f aca="false">IF(M28="","",ABS(M28-H28)*24)</f>
        <v/>
      </c>
      <c r="P28" s="11"/>
      <c r="Q28" s="67" t="s">
        <v>195</v>
      </c>
      <c r="R28" s="67" t="s">
        <v>196</v>
      </c>
      <c r="S28" s="67" t="s">
        <v>197</v>
      </c>
    </row>
    <row r="29" customFormat="false" ht="36" hidden="false" customHeight="true" outlineLevel="0" collapsed="false">
      <c r="A29" s="23" t="n">
        <v>24</v>
      </c>
      <c r="B29" s="60" t="s">
        <v>156</v>
      </c>
      <c r="C29" s="23" t="s">
        <v>198</v>
      </c>
      <c r="D29" s="61" t="s">
        <v>199</v>
      </c>
      <c r="E29" s="62" t="s">
        <v>200</v>
      </c>
      <c r="F29" s="23" t="s">
        <v>64</v>
      </c>
      <c r="G29" s="26" t="e">
        <f aca="false">ROUND(5*$H$3,0)</f>
        <v>#VALUE!</v>
      </c>
      <c r="H29" s="25" t="e">
        <f aca="false">$C$3+G29</f>
        <v>#VALUE!</v>
      </c>
      <c r="I29" s="52"/>
      <c r="J29" s="53" t="n">
        <f aca="false">IF(I29="Complete",1,IF(I29="Skipped",1,IF(I29="Blocked",0.5,IF(I29="In Progress",0.25,0))))</f>
        <v>0</v>
      </c>
      <c r="K29" s="54"/>
      <c r="L29" s="55"/>
      <c r="M29" s="56"/>
      <c r="N29" s="57" t="str">
        <f aca="false">IF(M29="","",M29-H29)</f>
        <v/>
      </c>
      <c r="O29" s="58" t="str">
        <f aca="false">IF(M29="","",ABS(M29-H29)*24)</f>
        <v/>
      </c>
      <c r="P29" s="23"/>
      <c r="Q29" s="63" t="s">
        <v>201</v>
      </c>
      <c r="R29" s="63" t="s">
        <v>202</v>
      </c>
      <c r="S29" s="63" t="s">
        <v>203</v>
      </c>
    </row>
    <row r="30" customFormat="false" ht="36" hidden="false" customHeight="true" outlineLevel="0" collapsed="false">
      <c r="A30" s="11" t="n">
        <v>25</v>
      </c>
      <c r="B30" s="64" t="s">
        <v>156</v>
      </c>
      <c r="C30" s="11" t="s">
        <v>204</v>
      </c>
      <c r="D30" s="65" t="s">
        <v>205</v>
      </c>
      <c r="E30" s="66" t="s">
        <v>206</v>
      </c>
      <c r="F30" s="11" t="s">
        <v>64</v>
      </c>
      <c r="G30" s="17" t="e">
        <f aca="false">ROUND(5*$H$3,0)</f>
        <v>#VALUE!</v>
      </c>
      <c r="H30" s="16" t="e">
        <f aca="false">$C$3+G30</f>
        <v>#VALUE!</v>
      </c>
      <c r="I30" s="52"/>
      <c r="J30" s="53" t="n">
        <f aca="false">IF(I30="Complete",1,IF(I30="Skipped",1,IF(I30="Blocked",0.5,IF(I30="In Progress",0.25,0))))</f>
        <v>0</v>
      </c>
      <c r="K30" s="54"/>
      <c r="L30" s="55"/>
      <c r="M30" s="56"/>
      <c r="N30" s="57" t="str">
        <f aca="false">IF(M30="","",M30-H30)</f>
        <v/>
      </c>
      <c r="O30" s="58" t="str">
        <f aca="false">IF(M30="","",ABS(M30-H30)*24)</f>
        <v/>
      </c>
      <c r="P30" s="11"/>
      <c r="Q30" s="67" t="s">
        <v>207</v>
      </c>
      <c r="R30" s="67" t="s">
        <v>208</v>
      </c>
      <c r="S30" s="67" t="s">
        <v>209</v>
      </c>
    </row>
    <row r="31" customFormat="false" ht="36" hidden="false" customHeight="true" outlineLevel="0" collapsed="false">
      <c r="A31" s="46" t="n">
        <v>26</v>
      </c>
      <c r="B31" s="47" t="s">
        <v>210</v>
      </c>
      <c r="C31" s="46" t="s">
        <v>211</v>
      </c>
      <c r="D31" s="48" t="s">
        <v>212</v>
      </c>
      <c r="E31" s="49" t="s">
        <v>213</v>
      </c>
      <c r="F31" s="46" t="s">
        <v>214</v>
      </c>
      <c r="G31" s="50" t="e">
        <f aca="false">ROUND(6*$H$3,0)</f>
        <v>#VALUE!</v>
      </c>
      <c r="H31" s="51" t="e">
        <f aca="false">$C$3+G31</f>
        <v>#VALUE!</v>
      </c>
      <c r="I31" s="52"/>
      <c r="J31" s="53" t="n">
        <f aca="false">IF(I31="Complete",1,IF(I31="Skipped",1,IF(I31="Blocked",0.5,IF(I31="In Progress",0.25,0))))</f>
        <v>0</v>
      </c>
      <c r="K31" s="54"/>
      <c r="L31" s="55"/>
      <c r="M31" s="56"/>
      <c r="N31" s="57" t="str">
        <f aca="false">IF(M31="","",M31-H31)</f>
        <v/>
      </c>
      <c r="O31" s="58" t="str">
        <f aca="false">IF(M31="","",ABS(M31-H31)*24)</f>
        <v/>
      </c>
      <c r="P31" s="46"/>
      <c r="Q31" s="59" t="s">
        <v>215</v>
      </c>
      <c r="R31" s="59" t="s">
        <v>216</v>
      </c>
      <c r="S31" s="59" t="s">
        <v>217</v>
      </c>
    </row>
    <row r="32" customFormat="false" ht="36" hidden="false" customHeight="true" outlineLevel="0" collapsed="false">
      <c r="A32" s="11" t="n">
        <v>27</v>
      </c>
      <c r="B32" s="64" t="s">
        <v>210</v>
      </c>
      <c r="C32" s="11" t="s">
        <v>218</v>
      </c>
      <c r="D32" s="65" t="s">
        <v>219</v>
      </c>
      <c r="E32" s="66" t="s">
        <v>220</v>
      </c>
      <c r="F32" s="11" t="s">
        <v>214</v>
      </c>
      <c r="G32" s="17" t="e">
        <f aca="false">ROUND(6*$H$3,0)</f>
        <v>#VALUE!</v>
      </c>
      <c r="H32" s="16" t="e">
        <f aca="false">$C$3+G32</f>
        <v>#VALUE!</v>
      </c>
      <c r="I32" s="52"/>
      <c r="J32" s="53" t="n">
        <f aca="false">IF(I32="Complete",1,IF(I32="Skipped",1,IF(I32="Blocked",0.5,IF(I32="In Progress",0.25,0))))</f>
        <v>0</v>
      </c>
      <c r="K32" s="54"/>
      <c r="L32" s="55"/>
      <c r="M32" s="56"/>
      <c r="N32" s="57" t="str">
        <f aca="false">IF(M32="","",M32-H32)</f>
        <v/>
      </c>
      <c r="O32" s="58" t="str">
        <f aca="false">IF(M32="","",ABS(M32-H32)*24)</f>
        <v/>
      </c>
      <c r="P32" s="11"/>
      <c r="Q32" s="67" t="s">
        <v>221</v>
      </c>
      <c r="R32" s="67" t="s">
        <v>222</v>
      </c>
      <c r="S32" s="67" t="s">
        <v>223</v>
      </c>
    </row>
    <row r="33" customFormat="false" ht="36" hidden="false" customHeight="true" outlineLevel="0" collapsed="false">
      <c r="A33" s="23" t="n">
        <v>28</v>
      </c>
      <c r="B33" s="60" t="s">
        <v>210</v>
      </c>
      <c r="C33" s="23" t="s">
        <v>224</v>
      </c>
      <c r="D33" s="61" t="s">
        <v>225</v>
      </c>
      <c r="E33" s="62" t="s">
        <v>226</v>
      </c>
      <c r="F33" s="23" t="s">
        <v>64</v>
      </c>
      <c r="G33" s="26" t="e">
        <f aca="false">ROUND(7*$H$3,0)</f>
        <v>#VALUE!</v>
      </c>
      <c r="H33" s="25" t="e">
        <f aca="false">$C$3+G33</f>
        <v>#VALUE!</v>
      </c>
      <c r="I33" s="52"/>
      <c r="J33" s="53" t="n">
        <f aca="false">IF(I33="Complete",1,IF(I33="Skipped",1,IF(I33="Blocked",0.5,IF(I33="In Progress",0.25,0))))</f>
        <v>0</v>
      </c>
      <c r="K33" s="54"/>
      <c r="L33" s="55"/>
      <c r="M33" s="56"/>
      <c r="N33" s="57" t="str">
        <f aca="false">IF(M33="","",M33-H33)</f>
        <v/>
      </c>
      <c r="O33" s="58" t="str">
        <f aca="false">IF(M33="","",ABS(M33-H33)*24)</f>
        <v/>
      </c>
      <c r="P33" s="23"/>
      <c r="Q33" s="63" t="s">
        <v>227</v>
      </c>
      <c r="R33" s="63" t="s">
        <v>228</v>
      </c>
      <c r="S33" s="63" t="s">
        <v>229</v>
      </c>
    </row>
    <row r="34" customFormat="false" ht="36" hidden="false" customHeight="true" outlineLevel="0" collapsed="false">
      <c r="A34" s="11" t="n">
        <v>29</v>
      </c>
      <c r="B34" s="64" t="s">
        <v>210</v>
      </c>
      <c r="C34" s="11" t="s">
        <v>230</v>
      </c>
      <c r="D34" s="65" t="s">
        <v>231</v>
      </c>
      <c r="E34" s="66" t="s">
        <v>232</v>
      </c>
      <c r="F34" s="11" t="s">
        <v>214</v>
      </c>
      <c r="G34" s="17" t="e">
        <f aca="false">ROUND(8*$H$3,0)</f>
        <v>#VALUE!</v>
      </c>
      <c r="H34" s="16" t="e">
        <f aca="false">$C$3+G34</f>
        <v>#VALUE!</v>
      </c>
      <c r="I34" s="52"/>
      <c r="J34" s="53" t="n">
        <f aca="false">IF(I34="Complete",1,IF(I34="Skipped",1,IF(I34="Blocked",0.5,IF(I34="In Progress",0.25,0))))</f>
        <v>0</v>
      </c>
      <c r="K34" s="54"/>
      <c r="L34" s="55"/>
      <c r="M34" s="56"/>
      <c r="N34" s="57" t="str">
        <f aca="false">IF(M34="","",M34-H34)</f>
        <v/>
      </c>
      <c r="O34" s="58" t="str">
        <f aca="false">IF(M34="","",ABS(M34-H34)*24)</f>
        <v/>
      </c>
      <c r="P34" s="11"/>
      <c r="Q34" s="67" t="s">
        <v>233</v>
      </c>
      <c r="R34" s="67" t="s">
        <v>66</v>
      </c>
      <c r="S34" s="67" t="s">
        <v>234</v>
      </c>
    </row>
    <row r="35" customFormat="false" ht="36" hidden="false" customHeight="true" outlineLevel="0" collapsed="false">
      <c r="A35" s="23" t="n">
        <v>30</v>
      </c>
      <c r="B35" s="60" t="s">
        <v>210</v>
      </c>
      <c r="C35" s="23" t="s">
        <v>235</v>
      </c>
      <c r="D35" s="61" t="s">
        <v>236</v>
      </c>
      <c r="E35" s="62" t="s">
        <v>237</v>
      </c>
      <c r="F35" s="23" t="s">
        <v>114</v>
      </c>
      <c r="G35" s="26" t="e">
        <f aca="false">ROUND(8*$H$3,0)</f>
        <v>#VALUE!</v>
      </c>
      <c r="H35" s="25" t="e">
        <f aca="false">$C$3+G35</f>
        <v>#VALUE!</v>
      </c>
      <c r="I35" s="52"/>
      <c r="J35" s="53" t="n">
        <f aca="false">IF(I35="Complete",1,IF(I35="Skipped",1,IF(I35="Blocked",0.5,IF(I35="In Progress",0.25,0))))</f>
        <v>0</v>
      </c>
      <c r="K35" s="54"/>
      <c r="L35" s="55"/>
      <c r="M35" s="56"/>
      <c r="N35" s="57" t="str">
        <f aca="false">IF(M35="","",M35-H35)</f>
        <v/>
      </c>
      <c r="O35" s="58" t="str">
        <f aca="false">IF(M35="","",ABS(M35-H35)*24)</f>
        <v/>
      </c>
      <c r="P35" s="23"/>
      <c r="Q35" s="63" t="s">
        <v>238</v>
      </c>
      <c r="R35" s="63" t="s">
        <v>239</v>
      </c>
      <c r="S35" s="63"/>
    </row>
    <row r="36" customFormat="false" ht="36" hidden="false" customHeight="true" outlineLevel="0" collapsed="false">
      <c r="A36" s="46" t="n">
        <v>31</v>
      </c>
      <c r="B36" s="47" t="s">
        <v>240</v>
      </c>
      <c r="C36" s="46" t="s">
        <v>241</v>
      </c>
      <c r="D36" s="48" t="s">
        <v>242</v>
      </c>
      <c r="E36" s="49" t="s">
        <v>243</v>
      </c>
      <c r="F36" s="46" t="s">
        <v>64</v>
      </c>
      <c r="G36" s="50" t="e">
        <f aca="false">ROUND(9*$H$3,0)</f>
        <v>#VALUE!</v>
      </c>
      <c r="H36" s="51" t="e">
        <f aca="false">$C$3+G36</f>
        <v>#VALUE!</v>
      </c>
      <c r="I36" s="52"/>
      <c r="J36" s="53" t="n">
        <f aca="false">IF(I36="Complete",1,IF(I36="Skipped",1,IF(I36="Blocked",0.5,IF(I36="In Progress",0.25,0))))</f>
        <v>0</v>
      </c>
      <c r="K36" s="54"/>
      <c r="L36" s="55"/>
      <c r="M36" s="56"/>
      <c r="N36" s="57" t="str">
        <f aca="false">IF(M36="","",M36-H36)</f>
        <v/>
      </c>
      <c r="O36" s="58" t="str">
        <f aca="false">IF(M36="","",ABS(M36-H36)*24)</f>
        <v/>
      </c>
      <c r="P36" s="46"/>
      <c r="Q36" s="59" t="s">
        <v>244</v>
      </c>
      <c r="R36" s="59" t="s">
        <v>245</v>
      </c>
      <c r="S36" s="59" t="s">
        <v>246</v>
      </c>
    </row>
    <row r="37" customFormat="false" ht="36" hidden="false" customHeight="true" outlineLevel="0" collapsed="false">
      <c r="A37" s="23" t="n">
        <v>32</v>
      </c>
      <c r="B37" s="60" t="s">
        <v>240</v>
      </c>
      <c r="C37" s="23" t="s">
        <v>247</v>
      </c>
      <c r="D37" s="61" t="s">
        <v>248</v>
      </c>
      <c r="E37" s="62" t="s">
        <v>249</v>
      </c>
      <c r="F37" s="23" t="s">
        <v>114</v>
      </c>
      <c r="G37" s="26" t="e">
        <f aca="false">ROUND(10*$H$3,0)</f>
        <v>#VALUE!</v>
      </c>
      <c r="H37" s="25" t="e">
        <f aca="false">$C$3+G37</f>
        <v>#VALUE!</v>
      </c>
      <c r="I37" s="52"/>
      <c r="J37" s="53" t="n">
        <f aca="false">IF(I37="Complete",1,IF(I37="Skipped",1,IF(I37="Blocked",0.5,IF(I37="In Progress",0.25,0))))</f>
        <v>0</v>
      </c>
      <c r="K37" s="54"/>
      <c r="L37" s="55"/>
      <c r="M37" s="56"/>
      <c r="N37" s="57" t="str">
        <f aca="false">IF(M37="","",M37-H37)</f>
        <v/>
      </c>
      <c r="O37" s="58" t="str">
        <f aca="false">IF(M37="","",ABS(M37-H37)*24)</f>
        <v/>
      </c>
      <c r="P37" s="23"/>
      <c r="Q37" s="63" t="s">
        <v>250</v>
      </c>
      <c r="R37" s="63" t="s">
        <v>251</v>
      </c>
      <c r="S37" s="63"/>
    </row>
    <row r="38" customFormat="false" ht="36" hidden="false" customHeight="true" outlineLevel="0" collapsed="false">
      <c r="A38" s="11" t="n">
        <v>33</v>
      </c>
      <c r="B38" s="64" t="s">
        <v>240</v>
      </c>
      <c r="C38" s="11" t="s">
        <v>252</v>
      </c>
      <c r="D38" s="65" t="s">
        <v>253</v>
      </c>
      <c r="E38" s="66" t="s">
        <v>254</v>
      </c>
      <c r="F38" s="11" t="s">
        <v>152</v>
      </c>
      <c r="G38" s="17" t="e">
        <f aca="false">ROUND(10*$H$3,0)</f>
        <v>#VALUE!</v>
      </c>
      <c r="H38" s="16" t="e">
        <f aca="false">$C$3+G38</f>
        <v>#VALUE!</v>
      </c>
      <c r="I38" s="52"/>
      <c r="J38" s="53" t="n">
        <f aca="false">IF(I38="Complete",1,IF(I38="Skipped",1,IF(I38="Blocked",0.5,IF(I38="In Progress",0.25,0))))</f>
        <v>0</v>
      </c>
      <c r="K38" s="54"/>
      <c r="L38" s="55"/>
      <c r="M38" s="56"/>
      <c r="N38" s="57" t="str">
        <f aca="false">IF(M38="","",M38-H38)</f>
        <v/>
      </c>
      <c r="O38" s="58" t="str">
        <f aca="false">IF(M38="","",ABS(M38-H38)*24)</f>
        <v/>
      </c>
      <c r="P38" s="11"/>
      <c r="Q38" s="67" t="s">
        <v>255</v>
      </c>
      <c r="R38" s="67" t="s">
        <v>256</v>
      </c>
      <c r="S38" s="67" t="s">
        <v>257</v>
      </c>
    </row>
    <row r="39" customFormat="false" ht="36" hidden="false" customHeight="true" outlineLevel="0" collapsed="false">
      <c r="A39" s="23" t="n">
        <v>34</v>
      </c>
      <c r="B39" s="60" t="s">
        <v>240</v>
      </c>
      <c r="C39" s="23" t="s">
        <v>258</v>
      </c>
      <c r="D39" s="61" t="s">
        <v>259</v>
      </c>
      <c r="E39" s="62" t="s">
        <v>260</v>
      </c>
      <c r="F39" s="23" t="s">
        <v>64</v>
      </c>
      <c r="G39" s="26" t="e">
        <f aca="false">ROUND(10*$H$3,0)</f>
        <v>#VALUE!</v>
      </c>
      <c r="H39" s="25" t="e">
        <f aca="false">$C$3+G39</f>
        <v>#VALUE!</v>
      </c>
      <c r="I39" s="52"/>
      <c r="J39" s="53" t="n">
        <f aca="false">IF(I39="Complete",1,IF(I39="Skipped",1,IF(I39="Blocked",0.5,IF(I39="In Progress",0.25,0))))</f>
        <v>0</v>
      </c>
      <c r="K39" s="54"/>
      <c r="L39" s="55"/>
      <c r="M39" s="56"/>
      <c r="N39" s="57" t="str">
        <f aca="false">IF(M39="","",M39-H39)</f>
        <v/>
      </c>
      <c r="O39" s="58" t="str">
        <f aca="false">IF(M39="","",ABS(M39-H39)*24)</f>
        <v/>
      </c>
      <c r="P39" s="23"/>
      <c r="Q39" s="63" t="s">
        <v>261</v>
      </c>
      <c r="R39" s="63" t="s">
        <v>262</v>
      </c>
      <c r="S39" s="63"/>
    </row>
    <row r="40" customFormat="false" ht="36" hidden="false" customHeight="true" outlineLevel="0" collapsed="false">
      <c r="A40" s="46" t="n">
        <v>35</v>
      </c>
      <c r="B40" s="47" t="s">
        <v>263</v>
      </c>
      <c r="C40" s="46" t="s">
        <v>264</v>
      </c>
      <c r="D40" s="48" t="s">
        <v>265</v>
      </c>
      <c r="E40" s="49" t="s">
        <v>266</v>
      </c>
      <c r="F40" s="46" t="s">
        <v>64</v>
      </c>
      <c r="G40" s="50" t="e">
        <f aca="false">ROUND(10*$H$3,0)</f>
        <v>#VALUE!</v>
      </c>
      <c r="H40" s="51" t="e">
        <f aca="false">$C$3+G40</f>
        <v>#VALUE!</v>
      </c>
      <c r="I40" s="52"/>
      <c r="J40" s="53" t="n">
        <f aca="false">IF(I40="Complete",1,IF(I40="Skipped",1,IF(I40="Blocked",0.5,IF(I40="In Progress",0.25,0))))</f>
        <v>0</v>
      </c>
      <c r="K40" s="54"/>
      <c r="L40" s="55"/>
      <c r="M40" s="56"/>
      <c r="N40" s="57" t="str">
        <f aca="false">IF(M40="","",M40-H40)</f>
        <v/>
      </c>
      <c r="O40" s="58" t="str">
        <f aca="false">IF(M40="","",ABS(M40-H40)*24)</f>
        <v/>
      </c>
      <c r="P40" s="46"/>
      <c r="Q40" s="59" t="s">
        <v>267</v>
      </c>
      <c r="R40" s="59" t="s">
        <v>268</v>
      </c>
      <c r="S40" s="59" t="s">
        <v>269</v>
      </c>
    </row>
    <row r="41" customFormat="false" ht="36" hidden="false" customHeight="true" outlineLevel="0" collapsed="false">
      <c r="A41" s="46" t="n">
        <v>36</v>
      </c>
      <c r="B41" s="47" t="s">
        <v>270</v>
      </c>
      <c r="C41" s="46" t="s">
        <v>271</v>
      </c>
      <c r="D41" s="48" t="s">
        <v>272</v>
      </c>
      <c r="E41" s="49" t="s">
        <v>273</v>
      </c>
      <c r="F41" s="46" t="s">
        <v>214</v>
      </c>
      <c r="G41" s="50" t="e">
        <f aca="false">ROUND(11*$H$3,0)</f>
        <v>#VALUE!</v>
      </c>
      <c r="H41" s="51" t="e">
        <f aca="false">$C$3+G41</f>
        <v>#VALUE!</v>
      </c>
      <c r="I41" s="52"/>
      <c r="J41" s="53" t="n">
        <f aca="false">IF(I41="Complete",1,IF(I41="Skipped",1,IF(I41="Blocked",0.5,IF(I41="In Progress",0.25,0))))</f>
        <v>0</v>
      </c>
      <c r="K41" s="54"/>
      <c r="L41" s="55"/>
      <c r="M41" s="56"/>
      <c r="N41" s="57" t="str">
        <f aca="false">IF(M41="","",M41-H41)</f>
        <v/>
      </c>
      <c r="O41" s="58" t="str">
        <f aca="false">IF(M41="","",ABS(M41-H41)*24)</f>
        <v/>
      </c>
      <c r="P41" s="46"/>
      <c r="Q41" s="59" t="s">
        <v>274</v>
      </c>
      <c r="R41" s="59" t="s">
        <v>275</v>
      </c>
      <c r="S41" s="59" t="s">
        <v>276</v>
      </c>
    </row>
    <row r="42" customFormat="false" ht="36" hidden="false" customHeight="true" outlineLevel="0" collapsed="false">
      <c r="A42" s="11" t="n">
        <v>37</v>
      </c>
      <c r="B42" s="64" t="s">
        <v>270</v>
      </c>
      <c r="C42" s="11" t="s">
        <v>277</v>
      </c>
      <c r="D42" s="65" t="s">
        <v>278</v>
      </c>
      <c r="E42" s="66" t="s">
        <v>279</v>
      </c>
      <c r="F42" s="11" t="s">
        <v>64</v>
      </c>
      <c r="G42" s="17" t="e">
        <f aca="false">ROUND(11*$H$3,0)</f>
        <v>#VALUE!</v>
      </c>
      <c r="H42" s="16" t="e">
        <f aca="false">$C$3+G42</f>
        <v>#VALUE!</v>
      </c>
      <c r="I42" s="52"/>
      <c r="J42" s="53" t="n">
        <f aca="false">IF(I42="Complete",1,IF(I42="Skipped",1,IF(I42="Blocked",0.5,IF(I42="In Progress",0.25,0))))</f>
        <v>0</v>
      </c>
      <c r="K42" s="54"/>
      <c r="L42" s="55"/>
      <c r="M42" s="56"/>
      <c r="N42" s="57" t="str">
        <f aca="false">IF(M42="","",M42-H42)</f>
        <v/>
      </c>
      <c r="O42" s="58" t="str">
        <f aca="false">IF(M42="","",ABS(M42-H42)*24)</f>
        <v/>
      </c>
      <c r="P42" s="11"/>
      <c r="Q42" s="67" t="s">
        <v>280</v>
      </c>
      <c r="R42" s="67" t="s">
        <v>281</v>
      </c>
      <c r="S42" s="67" t="s">
        <v>282</v>
      </c>
    </row>
    <row r="43" customFormat="false" ht="36" hidden="false" customHeight="true" outlineLevel="0" collapsed="false">
      <c r="A43" s="23" t="n">
        <v>38</v>
      </c>
      <c r="B43" s="60" t="s">
        <v>270</v>
      </c>
      <c r="C43" s="23" t="s">
        <v>283</v>
      </c>
      <c r="D43" s="61" t="s">
        <v>284</v>
      </c>
      <c r="E43" s="62" t="s">
        <v>285</v>
      </c>
      <c r="F43" s="23" t="s">
        <v>114</v>
      </c>
      <c r="G43" s="26" t="e">
        <f aca="false">ROUND(11*$H$3,0)</f>
        <v>#VALUE!</v>
      </c>
      <c r="H43" s="25" t="e">
        <f aca="false">$C$3+G43</f>
        <v>#VALUE!</v>
      </c>
      <c r="I43" s="52"/>
      <c r="J43" s="53" t="n">
        <f aca="false">IF(I43="Complete",1,IF(I43="Skipped",1,IF(I43="Blocked",0.5,IF(I43="In Progress",0.25,0))))</f>
        <v>0</v>
      </c>
      <c r="K43" s="54"/>
      <c r="L43" s="55"/>
      <c r="M43" s="56"/>
      <c r="N43" s="57" t="str">
        <f aca="false">IF(M43="","",M43-H43)</f>
        <v/>
      </c>
      <c r="O43" s="58" t="str">
        <f aca="false">IF(M43="","",ABS(M43-H43)*24)</f>
        <v/>
      </c>
      <c r="P43" s="23"/>
      <c r="Q43" s="63" t="s">
        <v>286</v>
      </c>
      <c r="R43" s="63" t="s">
        <v>287</v>
      </c>
      <c r="S43" s="63"/>
    </row>
    <row r="44" customFormat="false" ht="36" hidden="false" customHeight="true" outlineLevel="0" collapsed="false">
      <c r="A44" s="46" t="n">
        <v>39</v>
      </c>
      <c r="B44" s="47" t="s">
        <v>288</v>
      </c>
      <c r="C44" s="46" t="s">
        <v>289</v>
      </c>
      <c r="D44" s="48" t="s">
        <v>290</v>
      </c>
      <c r="E44" s="49" t="s">
        <v>291</v>
      </c>
      <c r="F44" s="46" t="s">
        <v>64</v>
      </c>
      <c r="G44" s="50" t="e">
        <f aca="false">ROUND(12*$H$3,0)</f>
        <v>#VALUE!</v>
      </c>
      <c r="H44" s="51" t="e">
        <f aca="false">$C$3+G44</f>
        <v>#VALUE!</v>
      </c>
      <c r="I44" s="52"/>
      <c r="J44" s="53" t="n">
        <f aca="false">IF(I44="Complete",1,IF(I44="Skipped",1,IF(I44="Blocked",0.5,IF(I44="In Progress",0.25,0))))</f>
        <v>0</v>
      </c>
      <c r="K44" s="54"/>
      <c r="L44" s="55"/>
      <c r="M44" s="56"/>
      <c r="N44" s="57" t="str">
        <f aca="false">IF(M44="","",M44-H44)</f>
        <v/>
      </c>
      <c r="O44" s="58" t="str">
        <f aca="false">IF(M44="","",ABS(M44-H44)*24)</f>
        <v/>
      </c>
      <c r="P44" s="46"/>
      <c r="Q44" s="59" t="s">
        <v>292</v>
      </c>
      <c r="R44" s="59" t="s">
        <v>293</v>
      </c>
      <c r="S44" s="59" t="s">
        <v>294</v>
      </c>
    </row>
    <row r="45" customFormat="false" ht="36" hidden="false" customHeight="true" outlineLevel="0" collapsed="false">
      <c r="A45" s="23" t="n">
        <v>40</v>
      </c>
      <c r="B45" s="60" t="s">
        <v>288</v>
      </c>
      <c r="C45" s="23" t="s">
        <v>295</v>
      </c>
      <c r="D45" s="61" t="s">
        <v>296</v>
      </c>
      <c r="E45" s="62" t="s">
        <v>297</v>
      </c>
      <c r="F45" s="23" t="s">
        <v>64</v>
      </c>
      <c r="G45" s="26" t="e">
        <f aca="false">ROUND(12*$H$3,0)</f>
        <v>#VALUE!</v>
      </c>
      <c r="H45" s="25" t="e">
        <f aca="false">$C$3+G45</f>
        <v>#VALUE!</v>
      </c>
      <c r="I45" s="52"/>
      <c r="J45" s="53" t="n">
        <f aca="false">IF(I45="Complete",1,IF(I45="Skipped",1,IF(I45="Blocked",0.5,IF(I45="In Progress",0.25,0))))</f>
        <v>0</v>
      </c>
      <c r="K45" s="54"/>
      <c r="L45" s="55"/>
      <c r="M45" s="56"/>
      <c r="N45" s="57" t="str">
        <f aca="false">IF(M45="","",M45-H45)</f>
        <v/>
      </c>
      <c r="O45" s="58" t="str">
        <f aca="false">IF(M45="","",ABS(M45-H45)*24)</f>
        <v/>
      </c>
      <c r="P45" s="23"/>
      <c r="Q45" s="63" t="s">
        <v>298</v>
      </c>
      <c r="R45" s="63" t="s">
        <v>299</v>
      </c>
      <c r="S45" s="63" t="s">
        <v>300</v>
      </c>
    </row>
    <row r="46" customFormat="false" ht="36" hidden="false" customHeight="true" outlineLevel="0" collapsed="false">
      <c r="A46" s="11" t="n">
        <v>41</v>
      </c>
      <c r="B46" s="64" t="s">
        <v>288</v>
      </c>
      <c r="C46" s="11" t="s">
        <v>301</v>
      </c>
      <c r="D46" s="65" t="s">
        <v>302</v>
      </c>
      <c r="E46" s="66" t="s">
        <v>303</v>
      </c>
      <c r="F46" s="11" t="s">
        <v>114</v>
      </c>
      <c r="G46" s="17" t="e">
        <f aca="false">ROUND(12*$H$3,0)</f>
        <v>#VALUE!</v>
      </c>
      <c r="H46" s="16" t="e">
        <f aca="false">$C$3+G46</f>
        <v>#VALUE!</v>
      </c>
      <c r="I46" s="52"/>
      <c r="J46" s="53" t="n">
        <f aca="false">IF(I46="Complete",1,IF(I46="Skipped",1,IF(I46="Blocked",0.5,IF(I46="In Progress",0.25,0))))</f>
        <v>0</v>
      </c>
      <c r="K46" s="54"/>
      <c r="L46" s="55"/>
      <c r="M46" s="56"/>
      <c r="N46" s="57" t="str">
        <f aca="false">IF(M46="","",M46-H46)</f>
        <v/>
      </c>
      <c r="O46" s="58" t="str">
        <f aca="false">IF(M46="","",ABS(M46-H46)*24)</f>
        <v/>
      </c>
      <c r="P46" s="11"/>
      <c r="Q46" s="67" t="s">
        <v>304</v>
      </c>
      <c r="R46" s="67" t="s">
        <v>305</v>
      </c>
      <c r="S46" s="67" t="s">
        <v>306</v>
      </c>
    </row>
    <row r="47" customFormat="false" ht="36" hidden="false" customHeight="true" outlineLevel="0" collapsed="false">
      <c r="A47" s="23" t="n">
        <v>42</v>
      </c>
      <c r="B47" s="60" t="s">
        <v>288</v>
      </c>
      <c r="C47" s="23" t="s">
        <v>307</v>
      </c>
      <c r="D47" s="61" t="s">
        <v>308</v>
      </c>
      <c r="E47" s="62" t="s">
        <v>309</v>
      </c>
      <c r="F47" s="23" t="s">
        <v>64</v>
      </c>
      <c r="G47" s="26" t="e">
        <f aca="false">ROUND(13*$H$3,0)</f>
        <v>#VALUE!</v>
      </c>
      <c r="H47" s="25" t="e">
        <f aca="false">$C$3+G47</f>
        <v>#VALUE!</v>
      </c>
      <c r="I47" s="52"/>
      <c r="J47" s="53" t="n">
        <f aca="false">IF(I47="Complete",1,IF(I47="Skipped",1,IF(I47="Blocked",0.5,IF(I47="In Progress",0.25,0))))</f>
        <v>0</v>
      </c>
      <c r="K47" s="54"/>
      <c r="L47" s="55"/>
      <c r="M47" s="56"/>
      <c r="N47" s="57" t="str">
        <f aca="false">IF(M47="","",M47-H47)</f>
        <v/>
      </c>
      <c r="O47" s="58" t="str">
        <f aca="false">IF(M47="","",ABS(M47-H47)*24)</f>
        <v/>
      </c>
      <c r="P47" s="23"/>
      <c r="Q47" s="63" t="s">
        <v>310</v>
      </c>
      <c r="R47" s="63" t="s">
        <v>311</v>
      </c>
      <c r="S47" s="63" t="s">
        <v>312</v>
      </c>
    </row>
    <row r="48" customFormat="false" ht="36" hidden="false" customHeight="true" outlineLevel="0" collapsed="false">
      <c r="A48" s="11" t="n">
        <v>43</v>
      </c>
      <c r="B48" s="64" t="s">
        <v>288</v>
      </c>
      <c r="C48" s="11" t="s">
        <v>313</v>
      </c>
      <c r="D48" s="65" t="s">
        <v>314</v>
      </c>
      <c r="E48" s="66" t="s">
        <v>315</v>
      </c>
      <c r="F48" s="11" t="s">
        <v>214</v>
      </c>
      <c r="G48" s="17" t="e">
        <f aca="false">ROUND(13*$H$3,0)</f>
        <v>#VALUE!</v>
      </c>
      <c r="H48" s="16" t="e">
        <f aca="false">$C$3+G48</f>
        <v>#VALUE!</v>
      </c>
      <c r="I48" s="52"/>
      <c r="J48" s="53" t="n">
        <f aca="false">IF(I48="Complete",1,IF(I48="Skipped",1,IF(I48="Blocked",0.5,IF(I48="In Progress",0.25,0))))</f>
        <v>0</v>
      </c>
      <c r="K48" s="54"/>
      <c r="L48" s="55"/>
      <c r="M48" s="56"/>
      <c r="N48" s="57" t="str">
        <f aca="false">IF(M48="","",M48-H48)</f>
        <v/>
      </c>
      <c r="O48" s="58" t="str">
        <f aca="false">IF(M48="","",ABS(M48-H48)*24)</f>
        <v/>
      </c>
      <c r="P48" s="11"/>
      <c r="Q48" s="67" t="s">
        <v>316</v>
      </c>
      <c r="R48" s="67" t="s">
        <v>317</v>
      </c>
      <c r="S48" s="67" t="s">
        <v>318</v>
      </c>
    </row>
    <row r="49" customFormat="false" ht="36" hidden="false" customHeight="true" outlineLevel="0" collapsed="false">
      <c r="A49" s="23" t="n">
        <v>44</v>
      </c>
      <c r="B49" s="60" t="s">
        <v>288</v>
      </c>
      <c r="C49" s="23" t="s">
        <v>319</v>
      </c>
      <c r="D49" s="61" t="s">
        <v>320</v>
      </c>
      <c r="E49" s="62" t="s">
        <v>321</v>
      </c>
      <c r="F49" s="23" t="s">
        <v>64</v>
      </c>
      <c r="G49" s="26" t="e">
        <f aca="false">ROUND(14*$H$3,0)</f>
        <v>#VALUE!</v>
      </c>
      <c r="H49" s="25" t="e">
        <f aca="false">$C$3+G49</f>
        <v>#VALUE!</v>
      </c>
      <c r="I49" s="52"/>
      <c r="J49" s="53" t="n">
        <f aca="false">IF(I49="Complete",1,IF(I49="Skipped",1,IF(I49="Blocked",0.5,IF(I49="In Progress",0.25,0))))</f>
        <v>0</v>
      </c>
      <c r="K49" s="54"/>
      <c r="L49" s="55"/>
      <c r="M49" s="56"/>
      <c r="N49" s="57" t="str">
        <f aca="false">IF(M49="","",M49-H49)</f>
        <v/>
      </c>
      <c r="O49" s="58" t="str">
        <f aca="false">IF(M49="","",ABS(M49-H49)*24)</f>
        <v/>
      </c>
      <c r="P49" s="23"/>
      <c r="Q49" s="63" t="s">
        <v>322</v>
      </c>
      <c r="R49" s="63" t="s">
        <v>323</v>
      </c>
      <c r="S49" s="63" t="s">
        <v>324</v>
      </c>
    </row>
    <row r="50" customFormat="false" ht="36" hidden="false" customHeight="true" outlineLevel="0" collapsed="false">
      <c r="A50" s="11" t="n">
        <v>45</v>
      </c>
      <c r="B50" s="64" t="s">
        <v>288</v>
      </c>
      <c r="C50" s="11" t="s">
        <v>325</v>
      </c>
      <c r="D50" s="65" t="s">
        <v>326</v>
      </c>
      <c r="E50" s="66" t="s">
        <v>327</v>
      </c>
      <c r="F50" s="11" t="s">
        <v>64</v>
      </c>
      <c r="G50" s="17" t="e">
        <f aca="false">ROUND(14*$H$3,0)</f>
        <v>#VALUE!</v>
      </c>
      <c r="H50" s="16" t="e">
        <f aca="false">$C$3+G50</f>
        <v>#VALUE!</v>
      </c>
      <c r="I50" s="52"/>
      <c r="J50" s="53" t="n">
        <f aca="false">IF(I50="Complete",1,IF(I50="Skipped",1,IF(I50="Blocked",0.5,IF(I50="In Progress",0.25,0))))</f>
        <v>0</v>
      </c>
      <c r="K50" s="54"/>
      <c r="L50" s="55"/>
      <c r="M50" s="56"/>
      <c r="N50" s="57" t="str">
        <f aca="false">IF(M50="","",M50-H50)</f>
        <v/>
      </c>
      <c r="O50" s="58" t="str">
        <f aca="false">IF(M50="","",ABS(M50-H50)*24)</f>
        <v/>
      </c>
      <c r="P50" s="11"/>
      <c r="Q50" s="67" t="s">
        <v>328</v>
      </c>
      <c r="R50" s="67" t="s">
        <v>66</v>
      </c>
      <c r="S50" s="67" t="s">
        <v>329</v>
      </c>
    </row>
    <row r="51" customFormat="false" ht="36" hidden="false" customHeight="true" outlineLevel="0" collapsed="false">
      <c r="A51" s="23" t="n">
        <v>46</v>
      </c>
      <c r="B51" s="60" t="s">
        <v>288</v>
      </c>
      <c r="C51" s="23" t="s">
        <v>330</v>
      </c>
      <c r="D51" s="61" t="s">
        <v>331</v>
      </c>
      <c r="E51" s="62" t="s">
        <v>332</v>
      </c>
      <c r="F51" s="23" t="s">
        <v>114</v>
      </c>
      <c r="G51" s="26" t="e">
        <f aca="false">ROUND(14*$H$3,0)</f>
        <v>#VALUE!</v>
      </c>
      <c r="H51" s="25" t="e">
        <f aca="false">$C$3+G51</f>
        <v>#VALUE!</v>
      </c>
      <c r="I51" s="52"/>
      <c r="J51" s="53" t="n">
        <f aca="false">IF(I51="Complete",1,IF(I51="Skipped",1,IF(I51="Blocked",0.5,IF(I51="In Progress",0.25,0))))</f>
        <v>0</v>
      </c>
      <c r="K51" s="54"/>
      <c r="L51" s="55"/>
      <c r="M51" s="56"/>
      <c r="N51" s="57" t="str">
        <f aca="false">IF(M51="","",M51-H51)</f>
        <v/>
      </c>
      <c r="O51" s="58" t="str">
        <f aca="false">IF(M51="","",ABS(M51-H51)*24)</f>
        <v/>
      </c>
      <c r="P51" s="23"/>
      <c r="Q51" s="63" t="s">
        <v>333</v>
      </c>
      <c r="R51" s="63" t="s">
        <v>116</v>
      </c>
      <c r="S51" s="63" t="s">
        <v>334</v>
      </c>
    </row>
    <row r="53" customFormat="false" ht="15" hidden="false" customHeight="true" outlineLevel="0" collapsed="false">
      <c r="A53" s="9" t="s">
        <v>335</v>
      </c>
      <c r="B53" s="9"/>
      <c r="C53" s="9"/>
      <c r="D53" s="9"/>
      <c r="E53" s="9"/>
      <c r="F53" s="9"/>
      <c r="G53" s="31"/>
      <c r="H53" s="31"/>
      <c r="I53" s="68" t="s">
        <v>336</v>
      </c>
      <c r="J53" s="69" t="n">
        <f aca="false">AVERAGE(J6:J51)</f>
        <v>0</v>
      </c>
      <c r="K53" s="31"/>
      <c r="L53" s="68" t="s">
        <v>337</v>
      </c>
      <c r="M53" s="9" t="n">
        <f aca="false">SUMPRODUCT((M6:M51&lt;&gt;"")*1)</f>
        <v>0</v>
      </c>
      <c r="N53" s="31"/>
      <c r="O53" s="33" t="n">
        <f aca="false">SUM(O6:O51)</f>
        <v>0</v>
      </c>
      <c r="P53" s="31"/>
      <c r="Q53" s="31"/>
      <c r="R53" s="31"/>
      <c r="S53" s="31"/>
    </row>
    <row r="54" customFormat="false" ht="15" hidden="false" customHeight="false" outlineLevel="0" collapsed="false">
      <c r="M54" s="70" t="s">
        <v>338</v>
      </c>
      <c r="N54" s="71" t="str">
        <f aca="false">IFERROR(AVERAGE(N6:N51),"")</f>
        <v/>
      </c>
    </row>
    <row r="55" customFormat="false" ht="15" hidden="false" customHeight="false" outlineLevel="0" collapsed="false">
      <c r="M55" s="70" t="s">
        <v>339</v>
      </c>
      <c r="N55" s="72" t="n">
        <f aca="false">IFERROR(MAX(N6:N51),"")</f>
        <v>0</v>
      </c>
    </row>
  </sheetData>
  <autoFilter ref="A5:S5"/>
  <mergeCells count="5">
    <mergeCell ref="A1:S1"/>
    <mergeCell ref="A3:B3"/>
    <mergeCell ref="E3:F3"/>
    <mergeCell ref="I3:J3"/>
    <mergeCell ref="A53:F53"/>
  </mergeCells>
  <conditionalFormatting sqref="I6:I51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0">
      <formula>"Skipped"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2">
      <formula>"In Progress"</formula>
    </cfRule>
  </conditionalFormatting>
  <conditionalFormatting sqref="J6:J51">
    <cfRule type="expression" priority="6" aboveAverage="0" equalAverage="0" bottom="0" percent="0" rank="0" text="" dxfId="14">
      <formula>$J6=1</formula>
    </cfRule>
    <cfRule type="expression" priority="7" aboveAverage="0" equalAverage="0" bottom="0" percent="0" rank="0" text="" dxfId="15">
      <formula>$J6&gt;=0.5</formula>
    </cfRule>
    <cfRule type="expression" priority="8" aboveAverage="0" equalAverage="0" bottom="0" percent="0" rank="0" text="" dxfId="16">
      <formula>$J6&gt;=0.25</formula>
    </cfRule>
  </conditionalFormatting>
  <conditionalFormatting sqref="K6:K51">
    <cfRule type="expression" priority="9" aboveAverage="0" equalAverage="0" bottom="0" percent="0" rank="0" text="" dxfId="17">
      <formula>AND($I6="Complete",$K6="")</formula>
    </cfRule>
    <cfRule type="expression" priority="10" aboveAverage="0" equalAverage="0" bottom="0" percent="0" rank="0" text="" dxfId="14">
      <formula>AND(OR($I6="Complete",$I6="Skipped"),$K6&lt;&gt;"")</formula>
    </cfRule>
  </conditionalFormatting>
  <conditionalFormatting sqref="L6:L51">
    <cfRule type="expression" priority="11" aboveAverage="0" equalAverage="0" bottom="0" percent="0" rank="0" text="" dxfId="17">
      <formula>AND($I6="Complete",$L6="")</formula>
    </cfRule>
    <cfRule type="expression" priority="12" aboveAverage="0" equalAverage="0" bottom="0" percent="0" rank="0" text="" dxfId="18">
      <formula>AND($I6="In Progress",$L6="")</formula>
    </cfRule>
  </conditionalFormatting>
  <conditionalFormatting sqref="M6:M51">
    <cfRule type="expression" priority="13" aboveAverage="0" equalAverage="0" bottom="0" percent="0" rank="0" text="" dxfId="17">
      <formula>AND($I6="Complete",$M6="")</formula>
    </cfRule>
    <cfRule type="expression" priority="14" aboveAverage="0" equalAverage="0" bottom="0" percent="0" rank="0" text="" dxfId="14">
      <formula>AND($I6="Complete",$M6&lt;&gt;"")</formula>
    </cfRule>
  </conditionalFormatting>
  <conditionalFormatting sqref="A6:S51">
    <cfRule type="expression" priority="15" aboveAverage="0" equalAverage="0" bottom="0" percent="0" rank="0" text="" dxfId="19">
      <formula>AND($M6&lt;&gt;"",$N6&gt;=5)</formula>
    </cfRule>
    <cfRule type="expression" priority="16" aboveAverage="0" equalAverage="0" bottom="0" percent="0" rank="0" text="" dxfId="19">
      <formula>AND($M6&lt;&gt;"",$N6&gt;=4)</formula>
    </cfRule>
    <cfRule type="expression" priority="17" aboveAverage="0" equalAverage="0" bottom="0" percent="0" rank="0" text="" dxfId="20">
      <formula>AND($M6&lt;&gt;"",$N6&gt;=3)</formula>
    </cfRule>
    <cfRule type="expression" priority="18" aboveAverage="0" equalAverage="0" bottom="0" percent="0" rank="0" text="" dxfId="20">
      <formula>AND($M6&lt;&gt;"",$N6&gt;=2)</formula>
    </cfRule>
    <cfRule type="expression" priority="19" aboveAverage="0" equalAverage="0" bottom="0" percent="0" rank="0" text="" dxfId="21">
      <formula>AND($M6&lt;&gt;"",$N6&gt;=1)</formula>
    </cfRule>
    <cfRule type="expression" priority="20" aboveAverage="0" equalAverage="0" bottom="0" percent="0" rank="0" text="" dxfId="22">
      <formula>AND($M6&lt;&gt;"",$N6&lt;=0)</formula>
    </cfRule>
  </conditionalFormatting>
  <conditionalFormatting sqref="N6:N51">
    <cfRule type="expression" priority="21" aboveAverage="0" equalAverage="0" bottom="0" percent="0" rank="0" text="" dxfId="23">
      <formula>AND($M6&lt;&gt;"",$N6&gt;=5)</formula>
    </cfRule>
    <cfRule type="expression" priority="22" aboveAverage="0" equalAverage="0" bottom="0" percent="0" rank="0" text="" dxfId="24">
      <formula>AND($M6&lt;&gt;"",$N6&gt;=3)</formula>
    </cfRule>
    <cfRule type="expression" priority="23" aboveAverage="0" equalAverage="0" bottom="0" percent="0" rank="0" text="" dxfId="25">
      <formula>AND($M6&lt;&gt;"",$N6&gt;=1)</formula>
    </cfRule>
    <cfRule type="expression" priority="24" aboveAverage="0" equalAverage="0" bottom="0" percent="0" rank="0" text="" dxfId="26">
      <formula>AND($M6&lt;&gt;"",$N6&lt;=0)</formula>
    </cfRule>
  </conditionalFormatting>
  <dataValidations count="3">
    <dataValidation allowBlank="true" errorStyle="stop" operator="between" prompt="Complete needs: sign-off name + report link + completed date" promptTitle="Status" showDropDown="false" showErrorMessage="false" showInputMessage="true" sqref="I6:I51" type="list">
      <formula1>"Not Started,In Progress,Blocked,Complete,Skipped"</formula1>
      <formula2>0</formula2>
    </dataValidation>
    <dataValidation allowBlank="true" errorStyle="stop" operator="between" prompt="Select team member" promptTitle="Sign Off" showDropDown="false" showErrorMessage="false" showInputMessage="true" sqref="K6:K51" type="list">
      <formula1>TeamMembers</formula1>
      <formula2>0</formula2>
    </dataValidation>
    <dataValidation allowBlank="true" error="Enter a valid date (YYYY-MM-DD)" errorStyle="stop" errorTitle="Invalid Date" operator="greaterThan" prompt="Type the completion date (YYYY-MM-DD)" promptTitle="Completed Date" showDropDown="false" showErrorMessage="true" showInputMessage="true" sqref="M6:M51" type="date">
      <formula1>2020-1-1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tru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4" min="14" style="0" width="7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46"/>
    <col collapsed="false" customWidth="true" hidden="false" outlineLevel="0" max="19" min="18" style="0" width="38"/>
  </cols>
  <sheetData>
    <row r="1" customFormat="false" ht="17.35" hidden="false" customHeight="false" outlineLevel="0" collapsed="false">
      <c r="A1" s="1" t="str">
        <f aca="false">IF(Config!B16&lt;&gt;"",Config!B16&amp;" — DNS, Certificate &amp; SSO Migration Runbook","Project 11 — Assign name on Config sheet")</f>
        <v>Project 11 — Assign name on Config sheet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27.75" hidden="false" customHeight="true" outlineLevel="0" collapsed="false">
      <c r="A3" s="35" t="s">
        <v>40</v>
      </c>
      <c r="B3" s="35"/>
      <c r="C3" s="36" t="n">
        <f aca="false">Config!C16</f>
        <v>0</v>
      </c>
      <c r="D3" s="35" t="s">
        <v>41</v>
      </c>
      <c r="E3" s="37" t="n">
        <f aca="false">Config!D16</f>
        <v>0</v>
      </c>
      <c r="F3" s="37"/>
      <c r="G3" s="35" t="s">
        <v>42</v>
      </c>
      <c r="H3" s="38" t="str">
        <f aca="false">Config!E16</f>
        <v/>
      </c>
      <c r="I3" s="35" t="s">
        <v>43</v>
      </c>
      <c r="J3" s="35"/>
      <c r="K3" s="36" t="str">
        <f aca="false">Config!F16</f>
        <v/>
      </c>
      <c r="L3" s="35" t="s">
        <v>44</v>
      </c>
      <c r="M3" s="39" t="str">
        <f aca="false">Config!G16</f>
        <v/>
      </c>
      <c r="N3" s="40"/>
      <c r="O3" s="40"/>
      <c r="P3" s="40"/>
      <c r="Q3" s="40"/>
      <c r="R3" s="40"/>
      <c r="S3" s="40"/>
    </row>
    <row r="5" customFormat="false" ht="35.05" hidden="false" customHeight="false" outlineLevel="0" collapsed="false">
      <c r="A5" s="9" t="s">
        <v>10</v>
      </c>
      <c r="B5" s="9" t="s">
        <v>45</v>
      </c>
      <c r="C5" s="9" t="s">
        <v>46</v>
      </c>
      <c r="D5" s="9" t="s">
        <v>47</v>
      </c>
      <c r="E5" s="9" t="s">
        <v>48</v>
      </c>
      <c r="F5" s="9" t="s">
        <v>49</v>
      </c>
      <c r="G5" s="9" t="s">
        <v>50</v>
      </c>
      <c r="H5" s="9" t="s">
        <v>51</v>
      </c>
      <c r="I5" s="41" t="s">
        <v>20</v>
      </c>
      <c r="J5" s="42" t="s">
        <v>17</v>
      </c>
      <c r="K5" s="43" t="s">
        <v>52</v>
      </c>
      <c r="L5" s="44" t="s">
        <v>53</v>
      </c>
      <c r="M5" s="45" t="s">
        <v>18</v>
      </c>
      <c r="N5" s="9" t="s">
        <v>54</v>
      </c>
      <c r="O5" s="9" t="s">
        <v>55</v>
      </c>
      <c r="P5" s="9" t="s">
        <v>56</v>
      </c>
      <c r="Q5" s="9" t="s">
        <v>57</v>
      </c>
      <c r="R5" s="9" t="s">
        <v>58</v>
      </c>
      <c r="S5" s="9" t="s">
        <v>59</v>
      </c>
    </row>
    <row r="6" customFormat="false" ht="36" hidden="false" customHeight="true" outlineLevel="0" collapsed="false">
      <c r="A6" s="46" t="n">
        <v>1</v>
      </c>
      <c r="B6" s="47" t="s">
        <v>60</v>
      </c>
      <c r="C6" s="46" t="s">
        <v>61</v>
      </c>
      <c r="D6" s="48" t="s">
        <v>62</v>
      </c>
      <c r="E6" s="49" t="s">
        <v>63</v>
      </c>
      <c r="F6" s="46" t="s">
        <v>64</v>
      </c>
      <c r="G6" s="50" t="e">
        <f aca="false">ROUND(0*$H$3,0)</f>
        <v>#VALUE!</v>
      </c>
      <c r="H6" s="51" t="e">
        <f aca="false">$C$3+G6</f>
        <v>#VALUE!</v>
      </c>
      <c r="I6" s="52"/>
      <c r="J6" s="53" t="n">
        <f aca="false">IF(I6="Complete",1,IF(I6="Skipped",1,IF(I6="Blocked",0.5,IF(I6="In Progress",0.25,0))))</f>
        <v>0</v>
      </c>
      <c r="K6" s="54"/>
      <c r="L6" s="55"/>
      <c r="M6" s="56"/>
      <c r="N6" s="57" t="str">
        <f aca="false">IF(M6="","",M6-H6)</f>
        <v/>
      </c>
      <c r="O6" s="58" t="str">
        <f aca="false">IF(M6="","",ABS(M6-H6)*24)</f>
        <v/>
      </c>
      <c r="P6" s="46"/>
      <c r="Q6" s="59" t="s">
        <v>65</v>
      </c>
      <c r="R6" s="59" t="s">
        <v>66</v>
      </c>
      <c r="S6" s="59" t="s">
        <v>67</v>
      </c>
    </row>
    <row r="7" customFormat="false" ht="36" hidden="false" customHeight="true" outlineLevel="0" collapsed="false">
      <c r="A7" s="23" t="n">
        <v>2</v>
      </c>
      <c r="B7" s="60" t="s">
        <v>60</v>
      </c>
      <c r="C7" s="23" t="s">
        <v>68</v>
      </c>
      <c r="D7" s="61" t="s">
        <v>69</v>
      </c>
      <c r="E7" s="62" t="s">
        <v>70</v>
      </c>
      <c r="F7" s="23" t="s">
        <v>64</v>
      </c>
      <c r="G7" s="26" t="e">
        <f aca="false">ROUND(0*$H$3,0)</f>
        <v>#VALUE!</v>
      </c>
      <c r="H7" s="25" t="e">
        <f aca="false">$C$3+G7</f>
        <v>#VALUE!</v>
      </c>
      <c r="I7" s="52"/>
      <c r="J7" s="53" t="n">
        <f aca="false">IF(I7="Complete",1,IF(I7="Skipped",1,IF(I7="Blocked",0.5,IF(I7="In Progress",0.25,0))))</f>
        <v>0</v>
      </c>
      <c r="K7" s="54"/>
      <c r="L7" s="55"/>
      <c r="M7" s="56"/>
      <c r="N7" s="57" t="str">
        <f aca="false">IF(M7="","",M7-H7)</f>
        <v/>
      </c>
      <c r="O7" s="58" t="str">
        <f aca="false">IF(M7="","",ABS(M7-H7)*24)</f>
        <v/>
      </c>
      <c r="P7" s="23"/>
      <c r="Q7" s="63" t="s">
        <v>71</v>
      </c>
      <c r="R7" s="63" t="s">
        <v>66</v>
      </c>
      <c r="S7" s="63" t="s">
        <v>72</v>
      </c>
    </row>
    <row r="8" customFormat="false" ht="36" hidden="false" customHeight="true" outlineLevel="0" collapsed="false">
      <c r="A8" s="11" t="n">
        <v>3</v>
      </c>
      <c r="B8" s="64" t="s">
        <v>60</v>
      </c>
      <c r="C8" s="11" t="s">
        <v>73</v>
      </c>
      <c r="D8" s="65" t="s">
        <v>74</v>
      </c>
      <c r="E8" s="66" t="s">
        <v>75</v>
      </c>
      <c r="F8" s="11" t="s">
        <v>64</v>
      </c>
      <c r="G8" s="17" t="e">
        <f aca="false">ROUND(0*$H$3,0)</f>
        <v>#VALUE!</v>
      </c>
      <c r="H8" s="16" t="e">
        <f aca="false">$C$3+G8</f>
        <v>#VALUE!</v>
      </c>
      <c r="I8" s="52"/>
      <c r="J8" s="53" t="n">
        <f aca="false">IF(I8="Complete",1,IF(I8="Skipped",1,IF(I8="Blocked",0.5,IF(I8="In Progress",0.25,0))))</f>
        <v>0</v>
      </c>
      <c r="K8" s="54"/>
      <c r="L8" s="55"/>
      <c r="M8" s="56"/>
      <c r="N8" s="57" t="str">
        <f aca="false">IF(M8="","",M8-H8)</f>
        <v/>
      </c>
      <c r="O8" s="58" t="str">
        <f aca="false">IF(M8="","",ABS(M8-H8)*24)</f>
        <v/>
      </c>
      <c r="P8" s="11"/>
      <c r="Q8" s="67" t="s">
        <v>76</v>
      </c>
      <c r="R8" s="67" t="s">
        <v>66</v>
      </c>
      <c r="S8" s="67" t="s">
        <v>77</v>
      </c>
    </row>
    <row r="9" customFormat="false" ht="36" hidden="false" customHeight="true" outlineLevel="0" collapsed="false">
      <c r="A9" s="23" t="n">
        <v>4</v>
      </c>
      <c r="B9" s="60" t="s">
        <v>60</v>
      </c>
      <c r="C9" s="23" t="s">
        <v>78</v>
      </c>
      <c r="D9" s="61" t="s">
        <v>79</v>
      </c>
      <c r="E9" s="62" t="s">
        <v>80</v>
      </c>
      <c r="F9" s="23" t="s">
        <v>64</v>
      </c>
      <c r="G9" s="26" t="e">
        <f aca="false">ROUND(1*$H$3,0)</f>
        <v>#VALUE!</v>
      </c>
      <c r="H9" s="25" t="e">
        <f aca="false">$C$3+G9</f>
        <v>#VALUE!</v>
      </c>
      <c r="I9" s="52"/>
      <c r="J9" s="53" t="n">
        <f aca="false">IF(I9="Complete",1,IF(I9="Skipped",1,IF(I9="Blocked",0.5,IF(I9="In Progress",0.25,0))))</f>
        <v>0</v>
      </c>
      <c r="K9" s="54"/>
      <c r="L9" s="55"/>
      <c r="M9" s="56"/>
      <c r="N9" s="57" t="str">
        <f aca="false">IF(M9="","",M9-H9)</f>
        <v/>
      </c>
      <c r="O9" s="58" t="str">
        <f aca="false">IF(M9="","",ABS(M9-H9)*24)</f>
        <v/>
      </c>
      <c r="P9" s="23"/>
      <c r="Q9" s="63" t="s">
        <v>81</v>
      </c>
      <c r="R9" s="63" t="s">
        <v>66</v>
      </c>
      <c r="S9" s="63" t="s">
        <v>82</v>
      </c>
    </row>
    <row r="10" customFormat="false" ht="36" hidden="false" customHeight="true" outlineLevel="0" collapsed="false">
      <c r="A10" s="11" t="n">
        <v>5</v>
      </c>
      <c r="B10" s="64" t="s">
        <v>60</v>
      </c>
      <c r="C10" s="11" t="s">
        <v>83</v>
      </c>
      <c r="D10" s="65" t="s">
        <v>84</v>
      </c>
      <c r="E10" s="66" t="s">
        <v>85</v>
      </c>
      <c r="F10" s="11" t="s">
        <v>64</v>
      </c>
      <c r="G10" s="17" t="e">
        <f aca="false">ROUND(1*$H$3,0)</f>
        <v>#VALUE!</v>
      </c>
      <c r="H10" s="16" t="e">
        <f aca="false">$C$3+G10</f>
        <v>#VALUE!</v>
      </c>
      <c r="I10" s="52"/>
      <c r="J10" s="53" t="n">
        <f aca="false">IF(I10="Complete",1,IF(I10="Skipped",1,IF(I10="Blocked",0.5,IF(I10="In Progress",0.25,0))))</f>
        <v>0</v>
      </c>
      <c r="K10" s="54"/>
      <c r="L10" s="55"/>
      <c r="M10" s="56"/>
      <c r="N10" s="57" t="str">
        <f aca="false">IF(M10="","",M10-H10)</f>
        <v/>
      </c>
      <c r="O10" s="58" t="str">
        <f aca="false">IF(M10="","",ABS(M10-H10)*24)</f>
        <v/>
      </c>
      <c r="P10" s="11"/>
      <c r="Q10" s="67" t="s">
        <v>86</v>
      </c>
      <c r="R10" s="67" t="s">
        <v>66</v>
      </c>
      <c r="S10" s="67" t="s">
        <v>87</v>
      </c>
    </row>
    <row r="11" customFormat="false" ht="36" hidden="false" customHeight="true" outlineLevel="0" collapsed="false">
      <c r="A11" s="23" t="n">
        <v>6</v>
      </c>
      <c r="B11" s="60" t="s">
        <v>60</v>
      </c>
      <c r="C11" s="23" t="s">
        <v>88</v>
      </c>
      <c r="D11" s="61" t="s">
        <v>89</v>
      </c>
      <c r="E11" s="62" t="s">
        <v>90</v>
      </c>
      <c r="F11" s="23" t="s">
        <v>64</v>
      </c>
      <c r="G11" s="26" t="e">
        <f aca="false">ROUND(1*$H$3,0)</f>
        <v>#VALUE!</v>
      </c>
      <c r="H11" s="25" t="e">
        <f aca="false">$C$3+G11</f>
        <v>#VALUE!</v>
      </c>
      <c r="I11" s="52"/>
      <c r="J11" s="53" t="n">
        <f aca="false">IF(I11="Complete",1,IF(I11="Skipped",1,IF(I11="Blocked",0.5,IF(I11="In Progress",0.25,0))))</f>
        <v>0</v>
      </c>
      <c r="K11" s="54"/>
      <c r="L11" s="55"/>
      <c r="M11" s="56"/>
      <c r="N11" s="57" t="str">
        <f aca="false">IF(M11="","",M11-H11)</f>
        <v/>
      </c>
      <c r="O11" s="58" t="str">
        <f aca="false">IF(M11="","",ABS(M11-H11)*24)</f>
        <v/>
      </c>
      <c r="P11" s="23"/>
      <c r="Q11" s="63" t="s">
        <v>91</v>
      </c>
      <c r="R11" s="63" t="s">
        <v>66</v>
      </c>
      <c r="S11" s="63" t="s">
        <v>92</v>
      </c>
    </row>
    <row r="12" customFormat="false" ht="36" hidden="false" customHeight="true" outlineLevel="0" collapsed="false">
      <c r="A12" s="11" t="n">
        <v>7</v>
      </c>
      <c r="B12" s="64" t="s">
        <v>60</v>
      </c>
      <c r="C12" s="11" t="s">
        <v>93</v>
      </c>
      <c r="D12" s="65" t="s">
        <v>94</v>
      </c>
      <c r="E12" s="66" t="s">
        <v>95</v>
      </c>
      <c r="F12" s="11" t="s">
        <v>96</v>
      </c>
      <c r="G12" s="17" t="e">
        <f aca="false">ROUND(1*$H$3,0)</f>
        <v>#VALUE!</v>
      </c>
      <c r="H12" s="16" t="e">
        <f aca="false">$C$3+G12</f>
        <v>#VALUE!</v>
      </c>
      <c r="I12" s="52"/>
      <c r="J12" s="53" t="n">
        <f aca="false">IF(I12="Complete",1,IF(I12="Skipped",1,IF(I12="Blocked",0.5,IF(I12="In Progress",0.25,0))))</f>
        <v>0</v>
      </c>
      <c r="K12" s="54"/>
      <c r="L12" s="55"/>
      <c r="M12" s="56"/>
      <c r="N12" s="57" t="str">
        <f aca="false">IF(M12="","",M12-H12)</f>
        <v/>
      </c>
      <c r="O12" s="58" t="str">
        <f aca="false">IF(M12="","",ABS(M12-H12)*24)</f>
        <v/>
      </c>
      <c r="P12" s="11"/>
      <c r="Q12" s="67" t="s">
        <v>97</v>
      </c>
      <c r="R12" s="67" t="s">
        <v>66</v>
      </c>
      <c r="S12" s="67" t="s">
        <v>98</v>
      </c>
    </row>
    <row r="13" customFormat="false" ht="36" hidden="false" customHeight="true" outlineLevel="0" collapsed="false">
      <c r="A13" s="23" t="n">
        <v>8</v>
      </c>
      <c r="B13" s="60" t="s">
        <v>60</v>
      </c>
      <c r="C13" s="23" t="s">
        <v>99</v>
      </c>
      <c r="D13" s="61" t="s">
        <v>100</v>
      </c>
      <c r="E13" s="62" t="s">
        <v>101</v>
      </c>
      <c r="F13" s="23" t="s">
        <v>64</v>
      </c>
      <c r="G13" s="26" t="e">
        <f aca="false">ROUND(1*$H$3,0)</f>
        <v>#VALUE!</v>
      </c>
      <c r="H13" s="25" t="e">
        <f aca="false">$C$3+G13</f>
        <v>#VALUE!</v>
      </c>
      <c r="I13" s="52"/>
      <c r="J13" s="53" t="n">
        <f aca="false">IF(I13="Complete",1,IF(I13="Skipped",1,IF(I13="Blocked",0.5,IF(I13="In Progress",0.25,0))))</f>
        <v>0</v>
      </c>
      <c r="K13" s="54"/>
      <c r="L13" s="55"/>
      <c r="M13" s="56"/>
      <c r="N13" s="57" t="str">
        <f aca="false">IF(M13="","",M13-H13)</f>
        <v/>
      </c>
      <c r="O13" s="58" t="str">
        <f aca="false">IF(M13="","",ABS(M13-H13)*24)</f>
        <v/>
      </c>
      <c r="P13" s="23"/>
      <c r="Q13" s="63" t="s">
        <v>102</v>
      </c>
      <c r="R13" s="63" t="s">
        <v>103</v>
      </c>
      <c r="S13" s="63" t="s">
        <v>104</v>
      </c>
    </row>
    <row r="14" customFormat="false" ht="36" hidden="false" customHeight="true" outlineLevel="0" collapsed="false">
      <c r="A14" s="11" t="n">
        <v>9</v>
      </c>
      <c r="B14" s="64" t="s">
        <v>60</v>
      </c>
      <c r="C14" s="11" t="s">
        <v>105</v>
      </c>
      <c r="D14" s="65" t="s">
        <v>106</v>
      </c>
      <c r="E14" s="66" t="s">
        <v>107</v>
      </c>
      <c r="F14" s="11" t="s">
        <v>64</v>
      </c>
      <c r="G14" s="17" t="e">
        <f aca="false">ROUND(2*$H$3,0)</f>
        <v>#VALUE!</v>
      </c>
      <c r="H14" s="16" t="e">
        <f aca="false">$C$3+G14</f>
        <v>#VALUE!</v>
      </c>
      <c r="I14" s="52"/>
      <c r="J14" s="53" t="n">
        <f aca="false">IF(I14="Complete",1,IF(I14="Skipped",1,IF(I14="Blocked",0.5,IF(I14="In Progress",0.25,0))))</f>
        <v>0</v>
      </c>
      <c r="K14" s="54"/>
      <c r="L14" s="55"/>
      <c r="M14" s="56"/>
      <c r="N14" s="57" t="str">
        <f aca="false">IF(M14="","",M14-H14)</f>
        <v/>
      </c>
      <c r="O14" s="58" t="str">
        <f aca="false">IF(M14="","",ABS(M14-H14)*24)</f>
        <v/>
      </c>
      <c r="P14" s="11"/>
      <c r="Q14" s="67" t="s">
        <v>108</v>
      </c>
      <c r="R14" s="67" t="s">
        <v>109</v>
      </c>
      <c r="S14" s="67" t="s">
        <v>110</v>
      </c>
    </row>
    <row r="15" customFormat="false" ht="36" hidden="false" customHeight="true" outlineLevel="0" collapsed="false">
      <c r="A15" s="23" t="n">
        <v>10</v>
      </c>
      <c r="B15" s="60" t="s">
        <v>60</v>
      </c>
      <c r="C15" s="23" t="s">
        <v>111</v>
      </c>
      <c r="D15" s="61" t="s">
        <v>112</v>
      </c>
      <c r="E15" s="62" t="s">
        <v>113</v>
      </c>
      <c r="F15" s="23" t="s">
        <v>114</v>
      </c>
      <c r="G15" s="26" t="e">
        <f aca="false">ROUND(2*$H$3,0)</f>
        <v>#VALUE!</v>
      </c>
      <c r="H15" s="25" t="e">
        <f aca="false">$C$3+G15</f>
        <v>#VALUE!</v>
      </c>
      <c r="I15" s="52"/>
      <c r="J15" s="53" t="n">
        <f aca="false">IF(I15="Complete",1,IF(I15="Skipped",1,IF(I15="Blocked",0.5,IF(I15="In Progress",0.25,0))))</f>
        <v>0</v>
      </c>
      <c r="K15" s="54"/>
      <c r="L15" s="55"/>
      <c r="M15" s="56"/>
      <c r="N15" s="57" t="str">
        <f aca="false">IF(M15="","",M15-H15)</f>
        <v/>
      </c>
      <c r="O15" s="58" t="str">
        <f aca="false">IF(M15="","",ABS(M15-H15)*24)</f>
        <v/>
      </c>
      <c r="P15" s="23"/>
      <c r="Q15" s="63" t="s">
        <v>115</v>
      </c>
      <c r="R15" s="63" t="s">
        <v>116</v>
      </c>
      <c r="S15" s="63" t="s">
        <v>117</v>
      </c>
    </row>
    <row r="16" customFormat="false" ht="36" hidden="false" customHeight="true" outlineLevel="0" collapsed="false">
      <c r="A16" s="46" t="n">
        <v>11</v>
      </c>
      <c r="B16" s="47" t="s">
        <v>118</v>
      </c>
      <c r="C16" s="46" t="s">
        <v>119</v>
      </c>
      <c r="D16" s="48" t="s">
        <v>120</v>
      </c>
      <c r="E16" s="49" t="s">
        <v>121</v>
      </c>
      <c r="F16" s="46" t="s">
        <v>64</v>
      </c>
      <c r="G16" s="50" t="e">
        <f aca="false">ROUND(3*$H$3,0)</f>
        <v>#VALUE!</v>
      </c>
      <c r="H16" s="51" t="e">
        <f aca="false">$C$3+G16</f>
        <v>#VALUE!</v>
      </c>
      <c r="I16" s="52"/>
      <c r="J16" s="53" t="n">
        <f aca="false">IF(I16="Complete",1,IF(I16="Skipped",1,IF(I16="Blocked",0.5,IF(I16="In Progress",0.25,0))))</f>
        <v>0</v>
      </c>
      <c r="K16" s="54"/>
      <c r="L16" s="55"/>
      <c r="M16" s="56"/>
      <c r="N16" s="57" t="str">
        <f aca="false">IF(M16="","",M16-H16)</f>
        <v/>
      </c>
      <c r="O16" s="58" t="str">
        <f aca="false">IF(M16="","",ABS(M16-H16)*24)</f>
        <v/>
      </c>
      <c r="P16" s="46"/>
      <c r="Q16" s="59" t="s">
        <v>122</v>
      </c>
      <c r="R16" s="59" t="s">
        <v>123</v>
      </c>
      <c r="S16" s="59" t="s">
        <v>124</v>
      </c>
    </row>
    <row r="17" customFormat="false" ht="36" hidden="false" customHeight="true" outlineLevel="0" collapsed="false">
      <c r="A17" s="23" t="n">
        <v>12</v>
      </c>
      <c r="B17" s="60" t="s">
        <v>118</v>
      </c>
      <c r="C17" s="23" t="s">
        <v>125</v>
      </c>
      <c r="D17" s="61" t="s">
        <v>126</v>
      </c>
      <c r="E17" s="62" t="s">
        <v>127</v>
      </c>
      <c r="F17" s="23" t="s">
        <v>64</v>
      </c>
      <c r="G17" s="26" t="e">
        <f aca="false">ROUND(3*$H$3,0)</f>
        <v>#VALUE!</v>
      </c>
      <c r="H17" s="25" t="e">
        <f aca="false">$C$3+G17</f>
        <v>#VALUE!</v>
      </c>
      <c r="I17" s="52"/>
      <c r="J17" s="53" t="n">
        <f aca="false">IF(I17="Complete",1,IF(I17="Skipped",1,IF(I17="Blocked",0.5,IF(I17="In Progress",0.25,0))))</f>
        <v>0</v>
      </c>
      <c r="K17" s="54"/>
      <c r="L17" s="55"/>
      <c r="M17" s="56"/>
      <c r="N17" s="57" t="str">
        <f aca="false">IF(M17="","",M17-H17)</f>
        <v/>
      </c>
      <c r="O17" s="58" t="str">
        <f aca="false">IF(M17="","",ABS(M17-H17)*24)</f>
        <v/>
      </c>
      <c r="P17" s="23"/>
      <c r="Q17" s="63" t="s">
        <v>128</v>
      </c>
      <c r="R17" s="63" t="s">
        <v>129</v>
      </c>
      <c r="S17" s="63" t="s">
        <v>130</v>
      </c>
    </row>
    <row r="18" customFormat="false" ht="36" hidden="false" customHeight="true" outlineLevel="0" collapsed="false">
      <c r="A18" s="11" t="n">
        <v>13</v>
      </c>
      <c r="B18" s="64" t="s">
        <v>118</v>
      </c>
      <c r="C18" s="11" t="s">
        <v>131</v>
      </c>
      <c r="D18" s="65" t="s">
        <v>132</v>
      </c>
      <c r="E18" s="66" t="s">
        <v>133</v>
      </c>
      <c r="F18" s="11" t="s">
        <v>64</v>
      </c>
      <c r="G18" s="17" t="e">
        <f aca="false">ROUND(3*$H$3,0)</f>
        <v>#VALUE!</v>
      </c>
      <c r="H18" s="16" t="e">
        <f aca="false">$C$3+G18</f>
        <v>#VALUE!</v>
      </c>
      <c r="I18" s="52"/>
      <c r="J18" s="53" t="n">
        <f aca="false">IF(I18="Complete",1,IF(I18="Skipped",1,IF(I18="Blocked",0.5,IF(I18="In Progress",0.25,0))))</f>
        <v>0</v>
      </c>
      <c r="K18" s="54"/>
      <c r="L18" s="55"/>
      <c r="M18" s="56"/>
      <c r="N18" s="57" t="str">
        <f aca="false">IF(M18="","",M18-H18)</f>
        <v/>
      </c>
      <c r="O18" s="58" t="str">
        <f aca="false">IF(M18="","",ABS(M18-H18)*24)</f>
        <v/>
      </c>
      <c r="P18" s="11"/>
      <c r="Q18" s="67" t="s">
        <v>134</v>
      </c>
      <c r="R18" s="67" t="s">
        <v>135</v>
      </c>
      <c r="S18" s="67" t="s">
        <v>136</v>
      </c>
    </row>
    <row r="19" customFormat="false" ht="36" hidden="false" customHeight="true" outlineLevel="0" collapsed="false">
      <c r="A19" s="23" t="n">
        <v>14</v>
      </c>
      <c r="B19" s="60" t="s">
        <v>118</v>
      </c>
      <c r="C19" s="23" t="s">
        <v>137</v>
      </c>
      <c r="D19" s="61" t="s">
        <v>138</v>
      </c>
      <c r="E19" s="62" t="s">
        <v>139</v>
      </c>
      <c r="F19" s="23" t="s">
        <v>64</v>
      </c>
      <c r="G19" s="26" t="e">
        <f aca="false">ROUND(3*$H$3,0)</f>
        <v>#VALUE!</v>
      </c>
      <c r="H19" s="25" t="e">
        <f aca="false">$C$3+G19</f>
        <v>#VALUE!</v>
      </c>
      <c r="I19" s="52"/>
      <c r="J19" s="53" t="n">
        <f aca="false">IF(I19="Complete",1,IF(I19="Skipped",1,IF(I19="Blocked",0.5,IF(I19="In Progress",0.25,0))))</f>
        <v>0</v>
      </c>
      <c r="K19" s="54"/>
      <c r="L19" s="55"/>
      <c r="M19" s="56"/>
      <c r="N19" s="57" t="str">
        <f aca="false">IF(M19="","",M19-H19)</f>
        <v/>
      </c>
      <c r="O19" s="58" t="str">
        <f aca="false">IF(M19="","",ABS(M19-H19)*24)</f>
        <v/>
      </c>
      <c r="P19" s="23"/>
      <c r="Q19" s="63" t="s">
        <v>140</v>
      </c>
      <c r="R19" s="63" t="s">
        <v>141</v>
      </c>
      <c r="S19" s="63" t="s">
        <v>142</v>
      </c>
    </row>
    <row r="20" customFormat="false" ht="36" hidden="false" customHeight="true" outlineLevel="0" collapsed="false">
      <c r="A20" s="11" t="n">
        <v>15</v>
      </c>
      <c r="B20" s="64" t="s">
        <v>118</v>
      </c>
      <c r="C20" s="11" t="s">
        <v>143</v>
      </c>
      <c r="D20" s="65" t="s">
        <v>144</v>
      </c>
      <c r="E20" s="66" t="s">
        <v>145</v>
      </c>
      <c r="F20" s="11" t="s">
        <v>64</v>
      </c>
      <c r="G20" s="17" t="e">
        <f aca="false">ROUND(3*$H$3,0)</f>
        <v>#VALUE!</v>
      </c>
      <c r="H20" s="16" t="e">
        <f aca="false">$C$3+G20</f>
        <v>#VALUE!</v>
      </c>
      <c r="I20" s="52"/>
      <c r="J20" s="53" t="n">
        <f aca="false">IF(I20="Complete",1,IF(I20="Skipped",1,IF(I20="Blocked",0.5,IF(I20="In Progress",0.25,0))))</f>
        <v>0</v>
      </c>
      <c r="K20" s="54"/>
      <c r="L20" s="55"/>
      <c r="M20" s="56"/>
      <c r="N20" s="57" t="str">
        <f aca="false">IF(M20="","",M20-H20)</f>
        <v/>
      </c>
      <c r="O20" s="58" t="str">
        <f aca="false">IF(M20="","",ABS(M20-H20)*24)</f>
        <v/>
      </c>
      <c r="P20" s="11"/>
      <c r="Q20" s="67" t="s">
        <v>146</v>
      </c>
      <c r="R20" s="67" t="s">
        <v>147</v>
      </c>
      <c r="S20" s="67" t="s">
        <v>148</v>
      </c>
    </row>
    <row r="21" customFormat="false" ht="36" hidden="false" customHeight="true" outlineLevel="0" collapsed="false">
      <c r="A21" s="23" t="n">
        <v>16</v>
      </c>
      <c r="B21" s="60" t="s">
        <v>118</v>
      </c>
      <c r="C21" s="23" t="s">
        <v>149</v>
      </c>
      <c r="D21" s="61" t="s">
        <v>150</v>
      </c>
      <c r="E21" s="62" t="s">
        <v>151</v>
      </c>
      <c r="F21" s="23" t="s">
        <v>152</v>
      </c>
      <c r="G21" s="26" t="e">
        <f aca="false">ROUND(3*$H$3,0)</f>
        <v>#VALUE!</v>
      </c>
      <c r="H21" s="25" t="e">
        <f aca="false">$C$3+G21</f>
        <v>#VALUE!</v>
      </c>
      <c r="I21" s="52"/>
      <c r="J21" s="53" t="n">
        <f aca="false">IF(I21="Complete",1,IF(I21="Skipped",1,IF(I21="Blocked",0.5,IF(I21="In Progress",0.25,0))))</f>
        <v>0</v>
      </c>
      <c r="K21" s="54"/>
      <c r="L21" s="55"/>
      <c r="M21" s="56"/>
      <c r="N21" s="57" t="str">
        <f aca="false">IF(M21="","",M21-H21)</f>
        <v/>
      </c>
      <c r="O21" s="58" t="str">
        <f aca="false">IF(M21="","",ABS(M21-H21)*24)</f>
        <v/>
      </c>
      <c r="P21" s="23"/>
      <c r="Q21" s="63" t="s">
        <v>153</v>
      </c>
      <c r="R21" s="63" t="s">
        <v>154</v>
      </c>
      <c r="S21" s="63" t="s">
        <v>155</v>
      </c>
    </row>
    <row r="22" customFormat="false" ht="36" hidden="false" customHeight="true" outlineLevel="0" collapsed="false">
      <c r="A22" s="46" t="n">
        <v>17</v>
      </c>
      <c r="B22" s="47" t="s">
        <v>156</v>
      </c>
      <c r="C22" s="46" t="s">
        <v>157</v>
      </c>
      <c r="D22" s="48" t="s">
        <v>158</v>
      </c>
      <c r="E22" s="49" t="s">
        <v>159</v>
      </c>
      <c r="F22" s="46" t="s">
        <v>64</v>
      </c>
      <c r="G22" s="50" t="e">
        <f aca="false">ROUND(4*$H$3,0)</f>
        <v>#VALUE!</v>
      </c>
      <c r="H22" s="51" t="e">
        <f aca="false">$C$3+G22</f>
        <v>#VALUE!</v>
      </c>
      <c r="I22" s="52"/>
      <c r="J22" s="53" t="n">
        <f aca="false">IF(I22="Complete",1,IF(I22="Skipped",1,IF(I22="Blocked",0.5,IF(I22="In Progress",0.25,0))))</f>
        <v>0</v>
      </c>
      <c r="K22" s="54"/>
      <c r="L22" s="55"/>
      <c r="M22" s="56"/>
      <c r="N22" s="57" t="str">
        <f aca="false">IF(M22="","",M22-H22)</f>
        <v/>
      </c>
      <c r="O22" s="58" t="str">
        <f aca="false">IF(M22="","",ABS(M22-H22)*24)</f>
        <v/>
      </c>
      <c r="P22" s="46"/>
      <c r="Q22" s="59" t="s">
        <v>160</v>
      </c>
      <c r="R22" s="59" t="s">
        <v>161</v>
      </c>
      <c r="S22" s="59" t="s">
        <v>162</v>
      </c>
    </row>
    <row r="23" customFormat="false" ht="36" hidden="false" customHeight="true" outlineLevel="0" collapsed="false">
      <c r="A23" s="23" t="n">
        <v>18</v>
      </c>
      <c r="B23" s="60" t="s">
        <v>156</v>
      </c>
      <c r="C23" s="23" t="s">
        <v>163</v>
      </c>
      <c r="D23" s="61" t="s">
        <v>164</v>
      </c>
      <c r="E23" s="62" t="s">
        <v>165</v>
      </c>
      <c r="F23" s="23" t="s">
        <v>64</v>
      </c>
      <c r="G23" s="26" t="e">
        <f aca="false">ROUND(4*$H$3,0)</f>
        <v>#VALUE!</v>
      </c>
      <c r="H23" s="25" t="e">
        <f aca="false">$C$3+G23</f>
        <v>#VALUE!</v>
      </c>
      <c r="I23" s="52"/>
      <c r="J23" s="53" t="n">
        <f aca="false">IF(I23="Complete",1,IF(I23="Skipped",1,IF(I23="Blocked",0.5,IF(I23="In Progress",0.25,0))))</f>
        <v>0</v>
      </c>
      <c r="K23" s="54"/>
      <c r="L23" s="55"/>
      <c r="M23" s="56"/>
      <c r="N23" s="57" t="str">
        <f aca="false">IF(M23="","",M23-H23)</f>
        <v/>
      </c>
      <c r="O23" s="58" t="str">
        <f aca="false">IF(M23="","",ABS(M23-H23)*24)</f>
        <v/>
      </c>
      <c r="P23" s="23"/>
      <c r="Q23" s="63" t="s">
        <v>166</v>
      </c>
      <c r="R23" s="63" t="s">
        <v>167</v>
      </c>
      <c r="S23" s="63"/>
    </row>
    <row r="24" customFormat="false" ht="36" hidden="false" customHeight="true" outlineLevel="0" collapsed="false">
      <c r="A24" s="11" t="n">
        <v>19</v>
      </c>
      <c r="B24" s="64" t="s">
        <v>156</v>
      </c>
      <c r="C24" s="11" t="s">
        <v>168</v>
      </c>
      <c r="D24" s="65" t="s">
        <v>169</v>
      </c>
      <c r="E24" s="66" t="s">
        <v>170</v>
      </c>
      <c r="F24" s="11" t="s">
        <v>64</v>
      </c>
      <c r="G24" s="17" t="e">
        <f aca="false">ROUND(4*$H$3,0)</f>
        <v>#VALUE!</v>
      </c>
      <c r="H24" s="16" t="e">
        <f aca="false">$C$3+G24</f>
        <v>#VALUE!</v>
      </c>
      <c r="I24" s="52"/>
      <c r="J24" s="53" t="n">
        <f aca="false">IF(I24="Complete",1,IF(I24="Skipped",1,IF(I24="Blocked",0.5,IF(I24="In Progress",0.25,0))))</f>
        <v>0</v>
      </c>
      <c r="K24" s="54"/>
      <c r="L24" s="55"/>
      <c r="M24" s="56"/>
      <c r="N24" s="57" t="str">
        <f aca="false">IF(M24="","",M24-H24)</f>
        <v/>
      </c>
      <c r="O24" s="58" t="str">
        <f aca="false">IF(M24="","",ABS(M24-H24)*24)</f>
        <v/>
      </c>
      <c r="P24" s="11"/>
      <c r="Q24" s="67" t="s">
        <v>171</v>
      </c>
      <c r="R24" s="67" t="s">
        <v>172</v>
      </c>
      <c r="S24" s="67" t="s">
        <v>173</v>
      </c>
    </row>
    <row r="25" customFormat="false" ht="36" hidden="false" customHeight="true" outlineLevel="0" collapsed="false">
      <c r="A25" s="23" t="n">
        <v>20</v>
      </c>
      <c r="B25" s="60" t="s">
        <v>156</v>
      </c>
      <c r="C25" s="23" t="s">
        <v>174</v>
      </c>
      <c r="D25" s="61" t="s">
        <v>175</v>
      </c>
      <c r="E25" s="62" t="s">
        <v>176</v>
      </c>
      <c r="F25" s="23" t="s">
        <v>64</v>
      </c>
      <c r="G25" s="26" t="e">
        <f aca="false">ROUND(4*$H$3,0)</f>
        <v>#VALUE!</v>
      </c>
      <c r="H25" s="25" t="e">
        <f aca="false">$C$3+G25</f>
        <v>#VALUE!</v>
      </c>
      <c r="I25" s="52"/>
      <c r="J25" s="53" t="n">
        <f aca="false">IF(I25="Complete",1,IF(I25="Skipped",1,IF(I25="Blocked",0.5,IF(I25="In Progress",0.25,0))))</f>
        <v>0</v>
      </c>
      <c r="K25" s="54"/>
      <c r="L25" s="55"/>
      <c r="M25" s="56"/>
      <c r="N25" s="57" t="str">
        <f aca="false">IF(M25="","",M25-H25)</f>
        <v/>
      </c>
      <c r="O25" s="58" t="str">
        <f aca="false">IF(M25="","",ABS(M25-H25)*24)</f>
        <v/>
      </c>
      <c r="P25" s="23"/>
      <c r="Q25" s="63" t="s">
        <v>177</v>
      </c>
      <c r="R25" s="63" t="s">
        <v>178</v>
      </c>
      <c r="S25" s="63" t="s">
        <v>179</v>
      </c>
    </row>
    <row r="26" customFormat="false" ht="36" hidden="false" customHeight="true" outlineLevel="0" collapsed="false">
      <c r="A26" s="11" t="n">
        <v>21</v>
      </c>
      <c r="B26" s="64" t="s">
        <v>156</v>
      </c>
      <c r="C26" s="11" t="s">
        <v>180</v>
      </c>
      <c r="D26" s="65" t="s">
        <v>181</v>
      </c>
      <c r="E26" s="66" t="s">
        <v>182</v>
      </c>
      <c r="F26" s="11" t="s">
        <v>64</v>
      </c>
      <c r="G26" s="17" t="e">
        <f aca="false">ROUND(4*$H$3,0)</f>
        <v>#VALUE!</v>
      </c>
      <c r="H26" s="16" t="e">
        <f aca="false">$C$3+G26</f>
        <v>#VALUE!</v>
      </c>
      <c r="I26" s="52"/>
      <c r="J26" s="53" t="n">
        <f aca="false">IF(I26="Complete",1,IF(I26="Skipped",1,IF(I26="Blocked",0.5,IF(I26="In Progress",0.25,0))))</f>
        <v>0</v>
      </c>
      <c r="K26" s="54"/>
      <c r="L26" s="55"/>
      <c r="M26" s="56"/>
      <c r="N26" s="57" t="str">
        <f aca="false">IF(M26="","",M26-H26)</f>
        <v/>
      </c>
      <c r="O26" s="58" t="str">
        <f aca="false">IF(M26="","",ABS(M26-H26)*24)</f>
        <v/>
      </c>
      <c r="P26" s="11"/>
      <c r="Q26" s="67" t="s">
        <v>183</v>
      </c>
      <c r="R26" s="67" t="s">
        <v>184</v>
      </c>
      <c r="S26" s="67" t="s">
        <v>185</v>
      </c>
    </row>
    <row r="27" customFormat="false" ht="36" hidden="false" customHeight="true" outlineLevel="0" collapsed="false">
      <c r="A27" s="23" t="n">
        <v>22</v>
      </c>
      <c r="B27" s="60" t="s">
        <v>156</v>
      </c>
      <c r="C27" s="23" t="s">
        <v>186</v>
      </c>
      <c r="D27" s="61" t="s">
        <v>187</v>
      </c>
      <c r="E27" s="62" t="s">
        <v>188</v>
      </c>
      <c r="F27" s="23" t="s">
        <v>64</v>
      </c>
      <c r="G27" s="26" t="e">
        <f aca="false">ROUND(4*$H$3,0)</f>
        <v>#VALUE!</v>
      </c>
      <c r="H27" s="25" t="e">
        <f aca="false">$C$3+G27</f>
        <v>#VALUE!</v>
      </c>
      <c r="I27" s="52"/>
      <c r="J27" s="53" t="n">
        <f aca="false">IF(I27="Complete",1,IF(I27="Skipped",1,IF(I27="Blocked",0.5,IF(I27="In Progress",0.25,0))))</f>
        <v>0</v>
      </c>
      <c r="K27" s="54"/>
      <c r="L27" s="55"/>
      <c r="M27" s="56"/>
      <c r="N27" s="57" t="str">
        <f aca="false">IF(M27="","",M27-H27)</f>
        <v/>
      </c>
      <c r="O27" s="58" t="str">
        <f aca="false">IF(M27="","",ABS(M27-H27)*24)</f>
        <v/>
      </c>
      <c r="P27" s="23"/>
      <c r="Q27" s="63" t="s">
        <v>189</v>
      </c>
      <c r="R27" s="63" t="s">
        <v>190</v>
      </c>
      <c r="S27" s="63" t="s">
        <v>191</v>
      </c>
    </row>
    <row r="28" customFormat="false" ht="36" hidden="false" customHeight="true" outlineLevel="0" collapsed="false">
      <c r="A28" s="11" t="n">
        <v>23</v>
      </c>
      <c r="B28" s="64" t="s">
        <v>156</v>
      </c>
      <c r="C28" s="11" t="s">
        <v>192</v>
      </c>
      <c r="D28" s="65" t="s">
        <v>193</v>
      </c>
      <c r="E28" s="66" t="s">
        <v>194</v>
      </c>
      <c r="F28" s="11" t="s">
        <v>64</v>
      </c>
      <c r="G28" s="17" t="e">
        <f aca="false">ROUND(5*$H$3,0)</f>
        <v>#VALUE!</v>
      </c>
      <c r="H28" s="16" t="e">
        <f aca="false">$C$3+G28</f>
        <v>#VALUE!</v>
      </c>
      <c r="I28" s="52"/>
      <c r="J28" s="53" t="n">
        <f aca="false">IF(I28="Complete",1,IF(I28="Skipped",1,IF(I28="Blocked",0.5,IF(I28="In Progress",0.25,0))))</f>
        <v>0</v>
      </c>
      <c r="K28" s="54"/>
      <c r="L28" s="55"/>
      <c r="M28" s="56"/>
      <c r="N28" s="57" t="str">
        <f aca="false">IF(M28="","",M28-H28)</f>
        <v/>
      </c>
      <c r="O28" s="58" t="str">
        <f aca="false">IF(M28="","",ABS(M28-H28)*24)</f>
        <v/>
      </c>
      <c r="P28" s="11"/>
      <c r="Q28" s="67" t="s">
        <v>195</v>
      </c>
      <c r="R28" s="67" t="s">
        <v>196</v>
      </c>
      <c r="S28" s="67" t="s">
        <v>197</v>
      </c>
    </row>
    <row r="29" customFormat="false" ht="36" hidden="false" customHeight="true" outlineLevel="0" collapsed="false">
      <c r="A29" s="23" t="n">
        <v>24</v>
      </c>
      <c r="B29" s="60" t="s">
        <v>156</v>
      </c>
      <c r="C29" s="23" t="s">
        <v>198</v>
      </c>
      <c r="D29" s="61" t="s">
        <v>199</v>
      </c>
      <c r="E29" s="62" t="s">
        <v>200</v>
      </c>
      <c r="F29" s="23" t="s">
        <v>64</v>
      </c>
      <c r="G29" s="26" t="e">
        <f aca="false">ROUND(5*$H$3,0)</f>
        <v>#VALUE!</v>
      </c>
      <c r="H29" s="25" t="e">
        <f aca="false">$C$3+G29</f>
        <v>#VALUE!</v>
      </c>
      <c r="I29" s="52"/>
      <c r="J29" s="53" t="n">
        <f aca="false">IF(I29="Complete",1,IF(I29="Skipped",1,IF(I29="Blocked",0.5,IF(I29="In Progress",0.25,0))))</f>
        <v>0</v>
      </c>
      <c r="K29" s="54"/>
      <c r="L29" s="55"/>
      <c r="M29" s="56"/>
      <c r="N29" s="57" t="str">
        <f aca="false">IF(M29="","",M29-H29)</f>
        <v/>
      </c>
      <c r="O29" s="58" t="str">
        <f aca="false">IF(M29="","",ABS(M29-H29)*24)</f>
        <v/>
      </c>
      <c r="P29" s="23"/>
      <c r="Q29" s="63" t="s">
        <v>201</v>
      </c>
      <c r="R29" s="63" t="s">
        <v>202</v>
      </c>
      <c r="S29" s="63" t="s">
        <v>203</v>
      </c>
    </row>
    <row r="30" customFormat="false" ht="36" hidden="false" customHeight="true" outlineLevel="0" collapsed="false">
      <c r="A30" s="11" t="n">
        <v>25</v>
      </c>
      <c r="B30" s="64" t="s">
        <v>156</v>
      </c>
      <c r="C30" s="11" t="s">
        <v>204</v>
      </c>
      <c r="D30" s="65" t="s">
        <v>205</v>
      </c>
      <c r="E30" s="66" t="s">
        <v>206</v>
      </c>
      <c r="F30" s="11" t="s">
        <v>64</v>
      </c>
      <c r="G30" s="17" t="e">
        <f aca="false">ROUND(5*$H$3,0)</f>
        <v>#VALUE!</v>
      </c>
      <c r="H30" s="16" t="e">
        <f aca="false">$C$3+G30</f>
        <v>#VALUE!</v>
      </c>
      <c r="I30" s="52"/>
      <c r="J30" s="53" t="n">
        <f aca="false">IF(I30="Complete",1,IF(I30="Skipped",1,IF(I30="Blocked",0.5,IF(I30="In Progress",0.25,0))))</f>
        <v>0</v>
      </c>
      <c r="K30" s="54"/>
      <c r="L30" s="55"/>
      <c r="M30" s="56"/>
      <c r="N30" s="57" t="str">
        <f aca="false">IF(M30="","",M30-H30)</f>
        <v/>
      </c>
      <c r="O30" s="58" t="str">
        <f aca="false">IF(M30="","",ABS(M30-H30)*24)</f>
        <v/>
      </c>
      <c r="P30" s="11"/>
      <c r="Q30" s="67" t="s">
        <v>207</v>
      </c>
      <c r="R30" s="67" t="s">
        <v>208</v>
      </c>
      <c r="S30" s="67" t="s">
        <v>209</v>
      </c>
    </row>
    <row r="31" customFormat="false" ht="36" hidden="false" customHeight="true" outlineLevel="0" collapsed="false">
      <c r="A31" s="46" t="n">
        <v>26</v>
      </c>
      <c r="B31" s="47" t="s">
        <v>210</v>
      </c>
      <c r="C31" s="46" t="s">
        <v>211</v>
      </c>
      <c r="D31" s="48" t="s">
        <v>212</v>
      </c>
      <c r="E31" s="49" t="s">
        <v>213</v>
      </c>
      <c r="F31" s="46" t="s">
        <v>214</v>
      </c>
      <c r="G31" s="50" t="e">
        <f aca="false">ROUND(6*$H$3,0)</f>
        <v>#VALUE!</v>
      </c>
      <c r="H31" s="51" t="e">
        <f aca="false">$C$3+G31</f>
        <v>#VALUE!</v>
      </c>
      <c r="I31" s="52"/>
      <c r="J31" s="53" t="n">
        <f aca="false">IF(I31="Complete",1,IF(I31="Skipped",1,IF(I31="Blocked",0.5,IF(I31="In Progress",0.25,0))))</f>
        <v>0</v>
      </c>
      <c r="K31" s="54"/>
      <c r="L31" s="55"/>
      <c r="M31" s="56"/>
      <c r="N31" s="57" t="str">
        <f aca="false">IF(M31="","",M31-H31)</f>
        <v/>
      </c>
      <c r="O31" s="58" t="str">
        <f aca="false">IF(M31="","",ABS(M31-H31)*24)</f>
        <v/>
      </c>
      <c r="P31" s="46"/>
      <c r="Q31" s="59" t="s">
        <v>215</v>
      </c>
      <c r="R31" s="59" t="s">
        <v>216</v>
      </c>
      <c r="S31" s="59" t="s">
        <v>217</v>
      </c>
    </row>
    <row r="32" customFormat="false" ht="36" hidden="false" customHeight="true" outlineLevel="0" collapsed="false">
      <c r="A32" s="11" t="n">
        <v>27</v>
      </c>
      <c r="B32" s="64" t="s">
        <v>210</v>
      </c>
      <c r="C32" s="11" t="s">
        <v>218</v>
      </c>
      <c r="D32" s="65" t="s">
        <v>219</v>
      </c>
      <c r="E32" s="66" t="s">
        <v>220</v>
      </c>
      <c r="F32" s="11" t="s">
        <v>214</v>
      </c>
      <c r="G32" s="17" t="e">
        <f aca="false">ROUND(6*$H$3,0)</f>
        <v>#VALUE!</v>
      </c>
      <c r="H32" s="16" t="e">
        <f aca="false">$C$3+G32</f>
        <v>#VALUE!</v>
      </c>
      <c r="I32" s="52"/>
      <c r="J32" s="53" t="n">
        <f aca="false">IF(I32="Complete",1,IF(I32="Skipped",1,IF(I32="Blocked",0.5,IF(I32="In Progress",0.25,0))))</f>
        <v>0</v>
      </c>
      <c r="K32" s="54"/>
      <c r="L32" s="55"/>
      <c r="M32" s="56"/>
      <c r="N32" s="57" t="str">
        <f aca="false">IF(M32="","",M32-H32)</f>
        <v/>
      </c>
      <c r="O32" s="58" t="str">
        <f aca="false">IF(M32="","",ABS(M32-H32)*24)</f>
        <v/>
      </c>
      <c r="P32" s="11"/>
      <c r="Q32" s="67" t="s">
        <v>221</v>
      </c>
      <c r="R32" s="67" t="s">
        <v>222</v>
      </c>
      <c r="S32" s="67" t="s">
        <v>223</v>
      </c>
    </row>
    <row r="33" customFormat="false" ht="36" hidden="false" customHeight="true" outlineLevel="0" collapsed="false">
      <c r="A33" s="23" t="n">
        <v>28</v>
      </c>
      <c r="B33" s="60" t="s">
        <v>210</v>
      </c>
      <c r="C33" s="23" t="s">
        <v>224</v>
      </c>
      <c r="D33" s="61" t="s">
        <v>225</v>
      </c>
      <c r="E33" s="62" t="s">
        <v>226</v>
      </c>
      <c r="F33" s="23" t="s">
        <v>64</v>
      </c>
      <c r="G33" s="26" t="e">
        <f aca="false">ROUND(7*$H$3,0)</f>
        <v>#VALUE!</v>
      </c>
      <c r="H33" s="25" t="e">
        <f aca="false">$C$3+G33</f>
        <v>#VALUE!</v>
      </c>
      <c r="I33" s="52"/>
      <c r="J33" s="53" t="n">
        <f aca="false">IF(I33="Complete",1,IF(I33="Skipped",1,IF(I33="Blocked",0.5,IF(I33="In Progress",0.25,0))))</f>
        <v>0</v>
      </c>
      <c r="K33" s="54"/>
      <c r="L33" s="55"/>
      <c r="M33" s="56"/>
      <c r="N33" s="57" t="str">
        <f aca="false">IF(M33="","",M33-H33)</f>
        <v/>
      </c>
      <c r="O33" s="58" t="str">
        <f aca="false">IF(M33="","",ABS(M33-H33)*24)</f>
        <v/>
      </c>
      <c r="P33" s="23"/>
      <c r="Q33" s="63" t="s">
        <v>227</v>
      </c>
      <c r="R33" s="63" t="s">
        <v>228</v>
      </c>
      <c r="S33" s="63" t="s">
        <v>229</v>
      </c>
    </row>
    <row r="34" customFormat="false" ht="36" hidden="false" customHeight="true" outlineLevel="0" collapsed="false">
      <c r="A34" s="11" t="n">
        <v>29</v>
      </c>
      <c r="B34" s="64" t="s">
        <v>210</v>
      </c>
      <c r="C34" s="11" t="s">
        <v>230</v>
      </c>
      <c r="D34" s="65" t="s">
        <v>231</v>
      </c>
      <c r="E34" s="66" t="s">
        <v>232</v>
      </c>
      <c r="F34" s="11" t="s">
        <v>214</v>
      </c>
      <c r="G34" s="17" t="e">
        <f aca="false">ROUND(8*$H$3,0)</f>
        <v>#VALUE!</v>
      </c>
      <c r="H34" s="16" t="e">
        <f aca="false">$C$3+G34</f>
        <v>#VALUE!</v>
      </c>
      <c r="I34" s="52"/>
      <c r="J34" s="53" t="n">
        <f aca="false">IF(I34="Complete",1,IF(I34="Skipped",1,IF(I34="Blocked",0.5,IF(I34="In Progress",0.25,0))))</f>
        <v>0</v>
      </c>
      <c r="K34" s="54"/>
      <c r="L34" s="55"/>
      <c r="M34" s="56"/>
      <c r="N34" s="57" t="str">
        <f aca="false">IF(M34="","",M34-H34)</f>
        <v/>
      </c>
      <c r="O34" s="58" t="str">
        <f aca="false">IF(M34="","",ABS(M34-H34)*24)</f>
        <v/>
      </c>
      <c r="P34" s="11"/>
      <c r="Q34" s="67" t="s">
        <v>233</v>
      </c>
      <c r="R34" s="67" t="s">
        <v>66</v>
      </c>
      <c r="S34" s="67" t="s">
        <v>234</v>
      </c>
    </row>
    <row r="35" customFormat="false" ht="36" hidden="false" customHeight="true" outlineLevel="0" collapsed="false">
      <c r="A35" s="23" t="n">
        <v>30</v>
      </c>
      <c r="B35" s="60" t="s">
        <v>210</v>
      </c>
      <c r="C35" s="23" t="s">
        <v>235</v>
      </c>
      <c r="D35" s="61" t="s">
        <v>236</v>
      </c>
      <c r="E35" s="62" t="s">
        <v>237</v>
      </c>
      <c r="F35" s="23" t="s">
        <v>114</v>
      </c>
      <c r="G35" s="26" t="e">
        <f aca="false">ROUND(8*$H$3,0)</f>
        <v>#VALUE!</v>
      </c>
      <c r="H35" s="25" t="e">
        <f aca="false">$C$3+G35</f>
        <v>#VALUE!</v>
      </c>
      <c r="I35" s="52"/>
      <c r="J35" s="53" t="n">
        <f aca="false">IF(I35="Complete",1,IF(I35="Skipped",1,IF(I35="Blocked",0.5,IF(I35="In Progress",0.25,0))))</f>
        <v>0</v>
      </c>
      <c r="K35" s="54"/>
      <c r="L35" s="55"/>
      <c r="M35" s="56"/>
      <c r="N35" s="57" t="str">
        <f aca="false">IF(M35="","",M35-H35)</f>
        <v/>
      </c>
      <c r="O35" s="58" t="str">
        <f aca="false">IF(M35="","",ABS(M35-H35)*24)</f>
        <v/>
      </c>
      <c r="P35" s="23"/>
      <c r="Q35" s="63" t="s">
        <v>238</v>
      </c>
      <c r="R35" s="63" t="s">
        <v>239</v>
      </c>
      <c r="S35" s="63"/>
    </row>
    <row r="36" customFormat="false" ht="36" hidden="false" customHeight="true" outlineLevel="0" collapsed="false">
      <c r="A36" s="46" t="n">
        <v>31</v>
      </c>
      <c r="B36" s="47" t="s">
        <v>240</v>
      </c>
      <c r="C36" s="46" t="s">
        <v>241</v>
      </c>
      <c r="D36" s="48" t="s">
        <v>242</v>
      </c>
      <c r="E36" s="49" t="s">
        <v>243</v>
      </c>
      <c r="F36" s="46" t="s">
        <v>64</v>
      </c>
      <c r="G36" s="50" t="e">
        <f aca="false">ROUND(9*$H$3,0)</f>
        <v>#VALUE!</v>
      </c>
      <c r="H36" s="51" t="e">
        <f aca="false">$C$3+G36</f>
        <v>#VALUE!</v>
      </c>
      <c r="I36" s="52"/>
      <c r="J36" s="53" t="n">
        <f aca="false">IF(I36="Complete",1,IF(I36="Skipped",1,IF(I36="Blocked",0.5,IF(I36="In Progress",0.25,0))))</f>
        <v>0</v>
      </c>
      <c r="K36" s="54"/>
      <c r="L36" s="55"/>
      <c r="M36" s="56"/>
      <c r="N36" s="57" t="str">
        <f aca="false">IF(M36="","",M36-H36)</f>
        <v/>
      </c>
      <c r="O36" s="58" t="str">
        <f aca="false">IF(M36="","",ABS(M36-H36)*24)</f>
        <v/>
      </c>
      <c r="P36" s="46"/>
      <c r="Q36" s="59" t="s">
        <v>244</v>
      </c>
      <c r="R36" s="59" t="s">
        <v>245</v>
      </c>
      <c r="S36" s="59" t="s">
        <v>246</v>
      </c>
    </row>
    <row r="37" customFormat="false" ht="36" hidden="false" customHeight="true" outlineLevel="0" collapsed="false">
      <c r="A37" s="23" t="n">
        <v>32</v>
      </c>
      <c r="B37" s="60" t="s">
        <v>240</v>
      </c>
      <c r="C37" s="23" t="s">
        <v>247</v>
      </c>
      <c r="D37" s="61" t="s">
        <v>248</v>
      </c>
      <c r="E37" s="62" t="s">
        <v>249</v>
      </c>
      <c r="F37" s="23" t="s">
        <v>114</v>
      </c>
      <c r="G37" s="26" t="e">
        <f aca="false">ROUND(10*$H$3,0)</f>
        <v>#VALUE!</v>
      </c>
      <c r="H37" s="25" t="e">
        <f aca="false">$C$3+G37</f>
        <v>#VALUE!</v>
      </c>
      <c r="I37" s="52"/>
      <c r="J37" s="53" t="n">
        <f aca="false">IF(I37="Complete",1,IF(I37="Skipped",1,IF(I37="Blocked",0.5,IF(I37="In Progress",0.25,0))))</f>
        <v>0</v>
      </c>
      <c r="K37" s="54"/>
      <c r="L37" s="55"/>
      <c r="M37" s="56"/>
      <c r="N37" s="57" t="str">
        <f aca="false">IF(M37="","",M37-H37)</f>
        <v/>
      </c>
      <c r="O37" s="58" t="str">
        <f aca="false">IF(M37="","",ABS(M37-H37)*24)</f>
        <v/>
      </c>
      <c r="P37" s="23"/>
      <c r="Q37" s="63" t="s">
        <v>250</v>
      </c>
      <c r="R37" s="63" t="s">
        <v>251</v>
      </c>
      <c r="S37" s="63"/>
    </row>
    <row r="38" customFormat="false" ht="36" hidden="false" customHeight="true" outlineLevel="0" collapsed="false">
      <c r="A38" s="11" t="n">
        <v>33</v>
      </c>
      <c r="B38" s="64" t="s">
        <v>240</v>
      </c>
      <c r="C38" s="11" t="s">
        <v>252</v>
      </c>
      <c r="D38" s="65" t="s">
        <v>253</v>
      </c>
      <c r="E38" s="66" t="s">
        <v>254</v>
      </c>
      <c r="F38" s="11" t="s">
        <v>152</v>
      </c>
      <c r="G38" s="17" t="e">
        <f aca="false">ROUND(10*$H$3,0)</f>
        <v>#VALUE!</v>
      </c>
      <c r="H38" s="16" t="e">
        <f aca="false">$C$3+G38</f>
        <v>#VALUE!</v>
      </c>
      <c r="I38" s="52"/>
      <c r="J38" s="53" t="n">
        <f aca="false">IF(I38="Complete",1,IF(I38="Skipped",1,IF(I38="Blocked",0.5,IF(I38="In Progress",0.25,0))))</f>
        <v>0</v>
      </c>
      <c r="K38" s="54"/>
      <c r="L38" s="55"/>
      <c r="M38" s="56"/>
      <c r="N38" s="57" t="str">
        <f aca="false">IF(M38="","",M38-H38)</f>
        <v/>
      </c>
      <c r="O38" s="58" t="str">
        <f aca="false">IF(M38="","",ABS(M38-H38)*24)</f>
        <v/>
      </c>
      <c r="P38" s="11"/>
      <c r="Q38" s="67" t="s">
        <v>255</v>
      </c>
      <c r="R38" s="67" t="s">
        <v>256</v>
      </c>
      <c r="S38" s="67" t="s">
        <v>257</v>
      </c>
    </row>
    <row r="39" customFormat="false" ht="36" hidden="false" customHeight="true" outlineLevel="0" collapsed="false">
      <c r="A39" s="23" t="n">
        <v>34</v>
      </c>
      <c r="B39" s="60" t="s">
        <v>240</v>
      </c>
      <c r="C39" s="23" t="s">
        <v>258</v>
      </c>
      <c r="D39" s="61" t="s">
        <v>259</v>
      </c>
      <c r="E39" s="62" t="s">
        <v>260</v>
      </c>
      <c r="F39" s="23" t="s">
        <v>64</v>
      </c>
      <c r="G39" s="26" t="e">
        <f aca="false">ROUND(10*$H$3,0)</f>
        <v>#VALUE!</v>
      </c>
      <c r="H39" s="25" t="e">
        <f aca="false">$C$3+G39</f>
        <v>#VALUE!</v>
      </c>
      <c r="I39" s="52"/>
      <c r="J39" s="53" t="n">
        <f aca="false">IF(I39="Complete",1,IF(I39="Skipped",1,IF(I39="Blocked",0.5,IF(I39="In Progress",0.25,0))))</f>
        <v>0</v>
      </c>
      <c r="K39" s="54"/>
      <c r="L39" s="55"/>
      <c r="M39" s="56"/>
      <c r="N39" s="57" t="str">
        <f aca="false">IF(M39="","",M39-H39)</f>
        <v/>
      </c>
      <c r="O39" s="58" t="str">
        <f aca="false">IF(M39="","",ABS(M39-H39)*24)</f>
        <v/>
      </c>
      <c r="P39" s="23"/>
      <c r="Q39" s="63" t="s">
        <v>261</v>
      </c>
      <c r="R39" s="63" t="s">
        <v>262</v>
      </c>
      <c r="S39" s="63"/>
    </row>
    <row r="40" customFormat="false" ht="36" hidden="false" customHeight="true" outlineLevel="0" collapsed="false">
      <c r="A40" s="46" t="n">
        <v>35</v>
      </c>
      <c r="B40" s="47" t="s">
        <v>263</v>
      </c>
      <c r="C40" s="46" t="s">
        <v>264</v>
      </c>
      <c r="D40" s="48" t="s">
        <v>265</v>
      </c>
      <c r="E40" s="49" t="s">
        <v>266</v>
      </c>
      <c r="F40" s="46" t="s">
        <v>64</v>
      </c>
      <c r="G40" s="50" t="e">
        <f aca="false">ROUND(10*$H$3,0)</f>
        <v>#VALUE!</v>
      </c>
      <c r="H40" s="51" t="e">
        <f aca="false">$C$3+G40</f>
        <v>#VALUE!</v>
      </c>
      <c r="I40" s="52"/>
      <c r="J40" s="53" t="n">
        <f aca="false">IF(I40="Complete",1,IF(I40="Skipped",1,IF(I40="Blocked",0.5,IF(I40="In Progress",0.25,0))))</f>
        <v>0</v>
      </c>
      <c r="K40" s="54"/>
      <c r="L40" s="55"/>
      <c r="M40" s="56"/>
      <c r="N40" s="57" t="str">
        <f aca="false">IF(M40="","",M40-H40)</f>
        <v/>
      </c>
      <c r="O40" s="58" t="str">
        <f aca="false">IF(M40="","",ABS(M40-H40)*24)</f>
        <v/>
      </c>
      <c r="P40" s="46"/>
      <c r="Q40" s="59" t="s">
        <v>267</v>
      </c>
      <c r="R40" s="59" t="s">
        <v>268</v>
      </c>
      <c r="S40" s="59" t="s">
        <v>269</v>
      </c>
    </row>
    <row r="41" customFormat="false" ht="36" hidden="false" customHeight="true" outlineLevel="0" collapsed="false">
      <c r="A41" s="46" t="n">
        <v>36</v>
      </c>
      <c r="B41" s="47" t="s">
        <v>270</v>
      </c>
      <c r="C41" s="46" t="s">
        <v>271</v>
      </c>
      <c r="D41" s="48" t="s">
        <v>272</v>
      </c>
      <c r="E41" s="49" t="s">
        <v>273</v>
      </c>
      <c r="F41" s="46" t="s">
        <v>214</v>
      </c>
      <c r="G41" s="50" t="e">
        <f aca="false">ROUND(11*$H$3,0)</f>
        <v>#VALUE!</v>
      </c>
      <c r="H41" s="51" t="e">
        <f aca="false">$C$3+G41</f>
        <v>#VALUE!</v>
      </c>
      <c r="I41" s="52"/>
      <c r="J41" s="53" t="n">
        <f aca="false">IF(I41="Complete",1,IF(I41="Skipped",1,IF(I41="Blocked",0.5,IF(I41="In Progress",0.25,0))))</f>
        <v>0</v>
      </c>
      <c r="K41" s="54"/>
      <c r="L41" s="55"/>
      <c r="M41" s="56"/>
      <c r="N41" s="57" t="str">
        <f aca="false">IF(M41="","",M41-H41)</f>
        <v/>
      </c>
      <c r="O41" s="58" t="str">
        <f aca="false">IF(M41="","",ABS(M41-H41)*24)</f>
        <v/>
      </c>
      <c r="P41" s="46"/>
      <c r="Q41" s="59" t="s">
        <v>274</v>
      </c>
      <c r="R41" s="59" t="s">
        <v>275</v>
      </c>
      <c r="S41" s="59" t="s">
        <v>276</v>
      </c>
    </row>
    <row r="42" customFormat="false" ht="36" hidden="false" customHeight="true" outlineLevel="0" collapsed="false">
      <c r="A42" s="11" t="n">
        <v>37</v>
      </c>
      <c r="B42" s="64" t="s">
        <v>270</v>
      </c>
      <c r="C42" s="11" t="s">
        <v>277</v>
      </c>
      <c r="D42" s="65" t="s">
        <v>278</v>
      </c>
      <c r="E42" s="66" t="s">
        <v>279</v>
      </c>
      <c r="F42" s="11" t="s">
        <v>64</v>
      </c>
      <c r="G42" s="17" t="e">
        <f aca="false">ROUND(11*$H$3,0)</f>
        <v>#VALUE!</v>
      </c>
      <c r="H42" s="16" t="e">
        <f aca="false">$C$3+G42</f>
        <v>#VALUE!</v>
      </c>
      <c r="I42" s="52"/>
      <c r="J42" s="53" t="n">
        <f aca="false">IF(I42="Complete",1,IF(I42="Skipped",1,IF(I42="Blocked",0.5,IF(I42="In Progress",0.25,0))))</f>
        <v>0</v>
      </c>
      <c r="K42" s="54"/>
      <c r="L42" s="55"/>
      <c r="M42" s="56"/>
      <c r="N42" s="57" t="str">
        <f aca="false">IF(M42="","",M42-H42)</f>
        <v/>
      </c>
      <c r="O42" s="58" t="str">
        <f aca="false">IF(M42="","",ABS(M42-H42)*24)</f>
        <v/>
      </c>
      <c r="P42" s="11"/>
      <c r="Q42" s="67" t="s">
        <v>280</v>
      </c>
      <c r="R42" s="67" t="s">
        <v>281</v>
      </c>
      <c r="S42" s="67" t="s">
        <v>282</v>
      </c>
    </row>
    <row r="43" customFormat="false" ht="36" hidden="false" customHeight="true" outlineLevel="0" collapsed="false">
      <c r="A43" s="23" t="n">
        <v>38</v>
      </c>
      <c r="B43" s="60" t="s">
        <v>270</v>
      </c>
      <c r="C43" s="23" t="s">
        <v>283</v>
      </c>
      <c r="D43" s="61" t="s">
        <v>284</v>
      </c>
      <c r="E43" s="62" t="s">
        <v>285</v>
      </c>
      <c r="F43" s="23" t="s">
        <v>114</v>
      </c>
      <c r="G43" s="26" t="e">
        <f aca="false">ROUND(11*$H$3,0)</f>
        <v>#VALUE!</v>
      </c>
      <c r="H43" s="25" t="e">
        <f aca="false">$C$3+G43</f>
        <v>#VALUE!</v>
      </c>
      <c r="I43" s="52"/>
      <c r="J43" s="53" t="n">
        <f aca="false">IF(I43="Complete",1,IF(I43="Skipped",1,IF(I43="Blocked",0.5,IF(I43="In Progress",0.25,0))))</f>
        <v>0</v>
      </c>
      <c r="K43" s="54"/>
      <c r="L43" s="55"/>
      <c r="M43" s="56"/>
      <c r="N43" s="57" t="str">
        <f aca="false">IF(M43="","",M43-H43)</f>
        <v/>
      </c>
      <c r="O43" s="58" t="str">
        <f aca="false">IF(M43="","",ABS(M43-H43)*24)</f>
        <v/>
      </c>
      <c r="P43" s="23"/>
      <c r="Q43" s="63" t="s">
        <v>286</v>
      </c>
      <c r="R43" s="63" t="s">
        <v>287</v>
      </c>
      <c r="S43" s="63"/>
    </row>
    <row r="44" customFormat="false" ht="36" hidden="false" customHeight="true" outlineLevel="0" collapsed="false">
      <c r="A44" s="46" t="n">
        <v>39</v>
      </c>
      <c r="B44" s="47" t="s">
        <v>288</v>
      </c>
      <c r="C44" s="46" t="s">
        <v>289</v>
      </c>
      <c r="D44" s="48" t="s">
        <v>290</v>
      </c>
      <c r="E44" s="49" t="s">
        <v>291</v>
      </c>
      <c r="F44" s="46" t="s">
        <v>64</v>
      </c>
      <c r="G44" s="50" t="e">
        <f aca="false">ROUND(12*$H$3,0)</f>
        <v>#VALUE!</v>
      </c>
      <c r="H44" s="51" t="e">
        <f aca="false">$C$3+G44</f>
        <v>#VALUE!</v>
      </c>
      <c r="I44" s="52"/>
      <c r="J44" s="53" t="n">
        <f aca="false">IF(I44="Complete",1,IF(I44="Skipped",1,IF(I44="Blocked",0.5,IF(I44="In Progress",0.25,0))))</f>
        <v>0</v>
      </c>
      <c r="K44" s="54"/>
      <c r="L44" s="55"/>
      <c r="M44" s="56"/>
      <c r="N44" s="57" t="str">
        <f aca="false">IF(M44="","",M44-H44)</f>
        <v/>
      </c>
      <c r="O44" s="58" t="str">
        <f aca="false">IF(M44="","",ABS(M44-H44)*24)</f>
        <v/>
      </c>
      <c r="P44" s="46"/>
      <c r="Q44" s="59" t="s">
        <v>292</v>
      </c>
      <c r="R44" s="59" t="s">
        <v>293</v>
      </c>
      <c r="S44" s="59" t="s">
        <v>294</v>
      </c>
    </row>
    <row r="45" customFormat="false" ht="36" hidden="false" customHeight="true" outlineLevel="0" collapsed="false">
      <c r="A45" s="23" t="n">
        <v>40</v>
      </c>
      <c r="B45" s="60" t="s">
        <v>288</v>
      </c>
      <c r="C45" s="23" t="s">
        <v>295</v>
      </c>
      <c r="D45" s="61" t="s">
        <v>296</v>
      </c>
      <c r="E45" s="62" t="s">
        <v>297</v>
      </c>
      <c r="F45" s="23" t="s">
        <v>64</v>
      </c>
      <c r="G45" s="26" t="e">
        <f aca="false">ROUND(12*$H$3,0)</f>
        <v>#VALUE!</v>
      </c>
      <c r="H45" s="25" t="e">
        <f aca="false">$C$3+G45</f>
        <v>#VALUE!</v>
      </c>
      <c r="I45" s="52"/>
      <c r="J45" s="53" t="n">
        <f aca="false">IF(I45="Complete",1,IF(I45="Skipped",1,IF(I45="Blocked",0.5,IF(I45="In Progress",0.25,0))))</f>
        <v>0</v>
      </c>
      <c r="K45" s="54"/>
      <c r="L45" s="55"/>
      <c r="M45" s="56"/>
      <c r="N45" s="57" t="str">
        <f aca="false">IF(M45="","",M45-H45)</f>
        <v/>
      </c>
      <c r="O45" s="58" t="str">
        <f aca="false">IF(M45="","",ABS(M45-H45)*24)</f>
        <v/>
      </c>
      <c r="P45" s="23"/>
      <c r="Q45" s="63" t="s">
        <v>298</v>
      </c>
      <c r="R45" s="63" t="s">
        <v>299</v>
      </c>
      <c r="S45" s="63" t="s">
        <v>300</v>
      </c>
    </row>
    <row r="46" customFormat="false" ht="36" hidden="false" customHeight="true" outlineLevel="0" collapsed="false">
      <c r="A46" s="11" t="n">
        <v>41</v>
      </c>
      <c r="B46" s="64" t="s">
        <v>288</v>
      </c>
      <c r="C46" s="11" t="s">
        <v>301</v>
      </c>
      <c r="D46" s="65" t="s">
        <v>302</v>
      </c>
      <c r="E46" s="66" t="s">
        <v>303</v>
      </c>
      <c r="F46" s="11" t="s">
        <v>114</v>
      </c>
      <c r="G46" s="17" t="e">
        <f aca="false">ROUND(12*$H$3,0)</f>
        <v>#VALUE!</v>
      </c>
      <c r="H46" s="16" t="e">
        <f aca="false">$C$3+G46</f>
        <v>#VALUE!</v>
      </c>
      <c r="I46" s="52"/>
      <c r="J46" s="53" t="n">
        <f aca="false">IF(I46="Complete",1,IF(I46="Skipped",1,IF(I46="Blocked",0.5,IF(I46="In Progress",0.25,0))))</f>
        <v>0</v>
      </c>
      <c r="K46" s="54"/>
      <c r="L46" s="55"/>
      <c r="M46" s="56"/>
      <c r="N46" s="57" t="str">
        <f aca="false">IF(M46="","",M46-H46)</f>
        <v/>
      </c>
      <c r="O46" s="58" t="str">
        <f aca="false">IF(M46="","",ABS(M46-H46)*24)</f>
        <v/>
      </c>
      <c r="P46" s="11"/>
      <c r="Q46" s="67" t="s">
        <v>304</v>
      </c>
      <c r="R46" s="67" t="s">
        <v>305</v>
      </c>
      <c r="S46" s="67" t="s">
        <v>306</v>
      </c>
    </row>
    <row r="47" customFormat="false" ht="36" hidden="false" customHeight="true" outlineLevel="0" collapsed="false">
      <c r="A47" s="23" t="n">
        <v>42</v>
      </c>
      <c r="B47" s="60" t="s">
        <v>288</v>
      </c>
      <c r="C47" s="23" t="s">
        <v>307</v>
      </c>
      <c r="D47" s="61" t="s">
        <v>308</v>
      </c>
      <c r="E47" s="62" t="s">
        <v>309</v>
      </c>
      <c r="F47" s="23" t="s">
        <v>64</v>
      </c>
      <c r="G47" s="26" t="e">
        <f aca="false">ROUND(13*$H$3,0)</f>
        <v>#VALUE!</v>
      </c>
      <c r="H47" s="25" t="e">
        <f aca="false">$C$3+G47</f>
        <v>#VALUE!</v>
      </c>
      <c r="I47" s="52"/>
      <c r="J47" s="53" t="n">
        <f aca="false">IF(I47="Complete",1,IF(I47="Skipped",1,IF(I47="Blocked",0.5,IF(I47="In Progress",0.25,0))))</f>
        <v>0</v>
      </c>
      <c r="K47" s="54"/>
      <c r="L47" s="55"/>
      <c r="M47" s="56"/>
      <c r="N47" s="57" t="str">
        <f aca="false">IF(M47="","",M47-H47)</f>
        <v/>
      </c>
      <c r="O47" s="58" t="str">
        <f aca="false">IF(M47="","",ABS(M47-H47)*24)</f>
        <v/>
      </c>
      <c r="P47" s="23"/>
      <c r="Q47" s="63" t="s">
        <v>310</v>
      </c>
      <c r="R47" s="63" t="s">
        <v>311</v>
      </c>
      <c r="S47" s="63" t="s">
        <v>312</v>
      </c>
    </row>
    <row r="48" customFormat="false" ht="36" hidden="false" customHeight="true" outlineLevel="0" collapsed="false">
      <c r="A48" s="11" t="n">
        <v>43</v>
      </c>
      <c r="B48" s="64" t="s">
        <v>288</v>
      </c>
      <c r="C48" s="11" t="s">
        <v>313</v>
      </c>
      <c r="D48" s="65" t="s">
        <v>314</v>
      </c>
      <c r="E48" s="66" t="s">
        <v>315</v>
      </c>
      <c r="F48" s="11" t="s">
        <v>214</v>
      </c>
      <c r="G48" s="17" t="e">
        <f aca="false">ROUND(13*$H$3,0)</f>
        <v>#VALUE!</v>
      </c>
      <c r="H48" s="16" t="e">
        <f aca="false">$C$3+G48</f>
        <v>#VALUE!</v>
      </c>
      <c r="I48" s="52"/>
      <c r="J48" s="53" t="n">
        <f aca="false">IF(I48="Complete",1,IF(I48="Skipped",1,IF(I48="Blocked",0.5,IF(I48="In Progress",0.25,0))))</f>
        <v>0</v>
      </c>
      <c r="K48" s="54"/>
      <c r="L48" s="55"/>
      <c r="M48" s="56"/>
      <c r="N48" s="57" t="str">
        <f aca="false">IF(M48="","",M48-H48)</f>
        <v/>
      </c>
      <c r="O48" s="58" t="str">
        <f aca="false">IF(M48="","",ABS(M48-H48)*24)</f>
        <v/>
      </c>
      <c r="P48" s="11"/>
      <c r="Q48" s="67" t="s">
        <v>316</v>
      </c>
      <c r="R48" s="67" t="s">
        <v>317</v>
      </c>
      <c r="S48" s="67" t="s">
        <v>318</v>
      </c>
    </row>
    <row r="49" customFormat="false" ht="36" hidden="false" customHeight="true" outlineLevel="0" collapsed="false">
      <c r="A49" s="23" t="n">
        <v>44</v>
      </c>
      <c r="B49" s="60" t="s">
        <v>288</v>
      </c>
      <c r="C49" s="23" t="s">
        <v>319</v>
      </c>
      <c r="D49" s="61" t="s">
        <v>320</v>
      </c>
      <c r="E49" s="62" t="s">
        <v>321</v>
      </c>
      <c r="F49" s="23" t="s">
        <v>64</v>
      </c>
      <c r="G49" s="26" t="e">
        <f aca="false">ROUND(14*$H$3,0)</f>
        <v>#VALUE!</v>
      </c>
      <c r="H49" s="25" t="e">
        <f aca="false">$C$3+G49</f>
        <v>#VALUE!</v>
      </c>
      <c r="I49" s="52"/>
      <c r="J49" s="53" t="n">
        <f aca="false">IF(I49="Complete",1,IF(I49="Skipped",1,IF(I49="Blocked",0.5,IF(I49="In Progress",0.25,0))))</f>
        <v>0</v>
      </c>
      <c r="K49" s="54"/>
      <c r="L49" s="55"/>
      <c r="M49" s="56"/>
      <c r="N49" s="57" t="str">
        <f aca="false">IF(M49="","",M49-H49)</f>
        <v/>
      </c>
      <c r="O49" s="58" t="str">
        <f aca="false">IF(M49="","",ABS(M49-H49)*24)</f>
        <v/>
      </c>
      <c r="P49" s="23"/>
      <c r="Q49" s="63" t="s">
        <v>322</v>
      </c>
      <c r="R49" s="63" t="s">
        <v>323</v>
      </c>
      <c r="S49" s="63" t="s">
        <v>324</v>
      </c>
    </row>
    <row r="50" customFormat="false" ht="36" hidden="false" customHeight="true" outlineLevel="0" collapsed="false">
      <c r="A50" s="11" t="n">
        <v>45</v>
      </c>
      <c r="B50" s="64" t="s">
        <v>288</v>
      </c>
      <c r="C50" s="11" t="s">
        <v>325</v>
      </c>
      <c r="D50" s="65" t="s">
        <v>326</v>
      </c>
      <c r="E50" s="66" t="s">
        <v>327</v>
      </c>
      <c r="F50" s="11" t="s">
        <v>64</v>
      </c>
      <c r="G50" s="17" t="e">
        <f aca="false">ROUND(14*$H$3,0)</f>
        <v>#VALUE!</v>
      </c>
      <c r="H50" s="16" t="e">
        <f aca="false">$C$3+G50</f>
        <v>#VALUE!</v>
      </c>
      <c r="I50" s="52"/>
      <c r="J50" s="53" t="n">
        <f aca="false">IF(I50="Complete",1,IF(I50="Skipped",1,IF(I50="Blocked",0.5,IF(I50="In Progress",0.25,0))))</f>
        <v>0</v>
      </c>
      <c r="K50" s="54"/>
      <c r="L50" s="55"/>
      <c r="M50" s="56"/>
      <c r="N50" s="57" t="str">
        <f aca="false">IF(M50="","",M50-H50)</f>
        <v/>
      </c>
      <c r="O50" s="58" t="str">
        <f aca="false">IF(M50="","",ABS(M50-H50)*24)</f>
        <v/>
      </c>
      <c r="P50" s="11"/>
      <c r="Q50" s="67" t="s">
        <v>328</v>
      </c>
      <c r="R50" s="67" t="s">
        <v>66</v>
      </c>
      <c r="S50" s="67" t="s">
        <v>329</v>
      </c>
    </row>
    <row r="51" customFormat="false" ht="36" hidden="false" customHeight="true" outlineLevel="0" collapsed="false">
      <c r="A51" s="23" t="n">
        <v>46</v>
      </c>
      <c r="B51" s="60" t="s">
        <v>288</v>
      </c>
      <c r="C51" s="23" t="s">
        <v>330</v>
      </c>
      <c r="D51" s="61" t="s">
        <v>331</v>
      </c>
      <c r="E51" s="62" t="s">
        <v>332</v>
      </c>
      <c r="F51" s="23" t="s">
        <v>114</v>
      </c>
      <c r="G51" s="26" t="e">
        <f aca="false">ROUND(14*$H$3,0)</f>
        <v>#VALUE!</v>
      </c>
      <c r="H51" s="25" t="e">
        <f aca="false">$C$3+G51</f>
        <v>#VALUE!</v>
      </c>
      <c r="I51" s="52"/>
      <c r="J51" s="53" t="n">
        <f aca="false">IF(I51="Complete",1,IF(I51="Skipped",1,IF(I51="Blocked",0.5,IF(I51="In Progress",0.25,0))))</f>
        <v>0</v>
      </c>
      <c r="K51" s="54"/>
      <c r="L51" s="55"/>
      <c r="M51" s="56"/>
      <c r="N51" s="57" t="str">
        <f aca="false">IF(M51="","",M51-H51)</f>
        <v/>
      </c>
      <c r="O51" s="58" t="str">
        <f aca="false">IF(M51="","",ABS(M51-H51)*24)</f>
        <v/>
      </c>
      <c r="P51" s="23"/>
      <c r="Q51" s="63" t="s">
        <v>333</v>
      </c>
      <c r="R51" s="63" t="s">
        <v>116</v>
      </c>
      <c r="S51" s="63" t="s">
        <v>334</v>
      </c>
    </row>
    <row r="53" customFormat="false" ht="15" hidden="false" customHeight="true" outlineLevel="0" collapsed="false">
      <c r="A53" s="9" t="s">
        <v>335</v>
      </c>
      <c r="B53" s="9"/>
      <c r="C53" s="9"/>
      <c r="D53" s="9"/>
      <c r="E53" s="9"/>
      <c r="F53" s="9"/>
      <c r="G53" s="31"/>
      <c r="H53" s="31"/>
      <c r="I53" s="68" t="s">
        <v>336</v>
      </c>
      <c r="J53" s="69" t="n">
        <f aca="false">AVERAGE(J6:J51)</f>
        <v>0</v>
      </c>
      <c r="K53" s="31"/>
      <c r="L53" s="68" t="s">
        <v>337</v>
      </c>
      <c r="M53" s="9" t="n">
        <f aca="false">SUMPRODUCT((M6:M51&lt;&gt;"")*1)</f>
        <v>0</v>
      </c>
      <c r="N53" s="31"/>
      <c r="O53" s="33" t="n">
        <f aca="false">SUM(O6:O51)</f>
        <v>0</v>
      </c>
      <c r="P53" s="31"/>
      <c r="Q53" s="31"/>
      <c r="R53" s="31"/>
      <c r="S53" s="31"/>
    </row>
    <row r="54" customFormat="false" ht="15" hidden="false" customHeight="false" outlineLevel="0" collapsed="false">
      <c r="M54" s="70" t="s">
        <v>338</v>
      </c>
      <c r="N54" s="71" t="str">
        <f aca="false">IFERROR(AVERAGE(N6:N51),"")</f>
        <v/>
      </c>
    </row>
    <row r="55" customFormat="false" ht="15" hidden="false" customHeight="false" outlineLevel="0" collapsed="false">
      <c r="M55" s="70" t="s">
        <v>339</v>
      </c>
      <c r="N55" s="72" t="n">
        <f aca="false">IFERROR(MAX(N6:N51),"")</f>
        <v>0</v>
      </c>
    </row>
  </sheetData>
  <autoFilter ref="A5:S5"/>
  <mergeCells count="5">
    <mergeCell ref="A1:S1"/>
    <mergeCell ref="A3:B3"/>
    <mergeCell ref="E3:F3"/>
    <mergeCell ref="I3:J3"/>
    <mergeCell ref="A53:F53"/>
  </mergeCells>
  <conditionalFormatting sqref="I6:I51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0">
      <formula>"Skipped"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2">
      <formula>"In Progress"</formula>
    </cfRule>
  </conditionalFormatting>
  <conditionalFormatting sqref="J6:J51">
    <cfRule type="expression" priority="6" aboveAverage="0" equalAverage="0" bottom="0" percent="0" rank="0" text="" dxfId="14">
      <formula>$J6=1</formula>
    </cfRule>
    <cfRule type="expression" priority="7" aboveAverage="0" equalAverage="0" bottom="0" percent="0" rank="0" text="" dxfId="15">
      <formula>$J6&gt;=0.5</formula>
    </cfRule>
    <cfRule type="expression" priority="8" aboveAverage="0" equalAverage="0" bottom="0" percent="0" rank="0" text="" dxfId="16">
      <formula>$J6&gt;=0.25</formula>
    </cfRule>
  </conditionalFormatting>
  <conditionalFormatting sqref="K6:K51">
    <cfRule type="expression" priority="9" aboveAverage="0" equalAverage="0" bottom="0" percent="0" rank="0" text="" dxfId="17">
      <formula>AND($I6="Complete",$K6="")</formula>
    </cfRule>
    <cfRule type="expression" priority="10" aboveAverage="0" equalAverage="0" bottom="0" percent="0" rank="0" text="" dxfId="14">
      <formula>AND(OR($I6="Complete",$I6="Skipped"),$K6&lt;&gt;"")</formula>
    </cfRule>
  </conditionalFormatting>
  <conditionalFormatting sqref="L6:L51">
    <cfRule type="expression" priority="11" aboveAverage="0" equalAverage="0" bottom="0" percent="0" rank="0" text="" dxfId="17">
      <formula>AND($I6="Complete",$L6="")</formula>
    </cfRule>
    <cfRule type="expression" priority="12" aboveAverage="0" equalAverage="0" bottom="0" percent="0" rank="0" text="" dxfId="18">
      <formula>AND($I6="In Progress",$L6="")</formula>
    </cfRule>
  </conditionalFormatting>
  <conditionalFormatting sqref="M6:M51">
    <cfRule type="expression" priority="13" aboveAverage="0" equalAverage="0" bottom="0" percent="0" rank="0" text="" dxfId="17">
      <formula>AND($I6="Complete",$M6="")</formula>
    </cfRule>
    <cfRule type="expression" priority="14" aboveAverage="0" equalAverage="0" bottom="0" percent="0" rank="0" text="" dxfId="14">
      <formula>AND($I6="Complete",$M6&lt;&gt;"")</formula>
    </cfRule>
  </conditionalFormatting>
  <conditionalFormatting sqref="A6:S51">
    <cfRule type="expression" priority="15" aboveAverage="0" equalAverage="0" bottom="0" percent="0" rank="0" text="" dxfId="19">
      <formula>AND($M6&lt;&gt;"",$N6&gt;=5)</formula>
    </cfRule>
    <cfRule type="expression" priority="16" aboveAverage="0" equalAverage="0" bottom="0" percent="0" rank="0" text="" dxfId="19">
      <formula>AND($M6&lt;&gt;"",$N6&gt;=4)</formula>
    </cfRule>
    <cfRule type="expression" priority="17" aboveAverage="0" equalAverage="0" bottom="0" percent="0" rank="0" text="" dxfId="20">
      <formula>AND($M6&lt;&gt;"",$N6&gt;=3)</formula>
    </cfRule>
    <cfRule type="expression" priority="18" aboveAverage="0" equalAverage="0" bottom="0" percent="0" rank="0" text="" dxfId="20">
      <formula>AND($M6&lt;&gt;"",$N6&gt;=2)</formula>
    </cfRule>
    <cfRule type="expression" priority="19" aboveAverage="0" equalAverage="0" bottom="0" percent="0" rank="0" text="" dxfId="21">
      <formula>AND($M6&lt;&gt;"",$N6&gt;=1)</formula>
    </cfRule>
    <cfRule type="expression" priority="20" aboveAverage="0" equalAverage="0" bottom="0" percent="0" rank="0" text="" dxfId="22">
      <formula>AND($M6&lt;&gt;"",$N6&lt;=0)</formula>
    </cfRule>
  </conditionalFormatting>
  <conditionalFormatting sqref="N6:N51">
    <cfRule type="expression" priority="21" aboveAverage="0" equalAverage="0" bottom="0" percent="0" rank="0" text="" dxfId="23">
      <formula>AND($M6&lt;&gt;"",$N6&gt;=5)</formula>
    </cfRule>
    <cfRule type="expression" priority="22" aboveAverage="0" equalAverage="0" bottom="0" percent="0" rank="0" text="" dxfId="24">
      <formula>AND($M6&lt;&gt;"",$N6&gt;=3)</formula>
    </cfRule>
    <cfRule type="expression" priority="23" aboveAverage="0" equalAverage="0" bottom="0" percent="0" rank="0" text="" dxfId="25">
      <formula>AND($M6&lt;&gt;"",$N6&gt;=1)</formula>
    </cfRule>
    <cfRule type="expression" priority="24" aboveAverage="0" equalAverage="0" bottom="0" percent="0" rank="0" text="" dxfId="26">
      <formula>AND($M6&lt;&gt;"",$N6&lt;=0)</formula>
    </cfRule>
  </conditionalFormatting>
  <dataValidations count="3">
    <dataValidation allowBlank="true" errorStyle="stop" operator="between" prompt="Complete needs: sign-off name + report link + completed date" promptTitle="Status" showDropDown="false" showErrorMessage="false" showInputMessage="true" sqref="I6:I51" type="list">
      <formula1>"Not Started,In Progress,Blocked,Complete,Skipped"</formula1>
      <formula2>0</formula2>
    </dataValidation>
    <dataValidation allowBlank="true" errorStyle="stop" operator="between" prompt="Select team member" promptTitle="Sign Off" showDropDown="false" showErrorMessage="false" showInputMessage="true" sqref="K6:K51" type="list">
      <formula1>TeamMembers</formula1>
      <formula2>0</formula2>
    </dataValidation>
    <dataValidation allowBlank="true" error="Enter a valid date (YYYY-MM-DD)" errorStyle="stop" errorTitle="Invalid Date" operator="greaterThan" prompt="Type the completion date (YYYY-MM-DD)" promptTitle="Completed Date" showDropDown="false" showErrorMessage="true" showInputMessage="true" sqref="M6:M51" type="date">
      <formula1>2020-1-1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tru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4" min="14" style="0" width="7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46"/>
    <col collapsed="false" customWidth="true" hidden="false" outlineLevel="0" max="19" min="18" style="0" width="38"/>
  </cols>
  <sheetData>
    <row r="1" customFormat="false" ht="17.35" hidden="false" customHeight="false" outlineLevel="0" collapsed="false">
      <c r="A1" s="1" t="str">
        <f aca="false">IF(Config!B17&lt;&gt;"",Config!B17&amp;" — DNS, Certificate &amp; SSO Migration Runbook","Project 12 — Assign name on Config sheet")</f>
        <v>Project 12 — Assign name on Config sheet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27.75" hidden="false" customHeight="true" outlineLevel="0" collapsed="false">
      <c r="A3" s="35" t="s">
        <v>40</v>
      </c>
      <c r="B3" s="35"/>
      <c r="C3" s="36" t="n">
        <f aca="false">Config!C17</f>
        <v>0</v>
      </c>
      <c r="D3" s="35" t="s">
        <v>41</v>
      </c>
      <c r="E3" s="37" t="n">
        <f aca="false">Config!D17</f>
        <v>0</v>
      </c>
      <c r="F3" s="37"/>
      <c r="G3" s="35" t="s">
        <v>42</v>
      </c>
      <c r="H3" s="38" t="str">
        <f aca="false">Config!E17</f>
        <v/>
      </c>
      <c r="I3" s="35" t="s">
        <v>43</v>
      </c>
      <c r="J3" s="35"/>
      <c r="K3" s="36" t="str">
        <f aca="false">Config!F17</f>
        <v/>
      </c>
      <c r="L3" s="35" t="s">
        <v>44</v>
      </c>
      <c r="M3" s="39" t="str">
        <f aca="false">Config!G17</f>
        <v/>
      </c>
      <c r="N3" s="40"/>
      <c r="O3" s="40"/>
      <c r="P3" s="40"/>
      <c r="Q3" s="40"/>
      <c r="R3" s="40"/>
      <c r="S3" s="40"/>
    </row>
    <row r="5" customFormat="false" ht="35.05" hidden="false" customHeight="false" outlineLevel="0" collapsed="false">
      <c r="A5" s="9" t="s">
        <v>10</v>
      </c>
      <c r="B5" s="9" t="s">
        <v>45</v>
      </c>
      <c r="C5" s="9" t="s">
        <v>46</v>
      </c>
      <c r="D5" s="9" t="s">
        <v>47</v>
      </c>
      <c r="E5" s="9" t="s">
        <v>48</v>
      </c>
      <c r="F5" s="9" t="s">
        <v>49</v>
      </c>
      <c r="G5" s="9" t="s">
        <v>50</v>
      </c>
      <c r="H5" s="9" t="s">
        <v>51</v>
      </c>
      <c r="I5" s="41" t="s">
        <v>20</v>
      </c>
      <c r="J5" s="42" t="s">
        <v>17</v>
      </c>
      <c r="K5" s="43" t="s">
        <v>52</v>
      </c>
      <c r="L5" s="44" t="s">
        <v>53</v>
      </c>
      <c r="M5" s="45" t="s">
        <v>18</v>
      </c>
      <c r="N5" s="9" t="s">
        <v>54</v>
      </c>
      <c r="O5" s="9" t="s">
        <v>55</v>
      </c>
      <c r="P5" s="9" t="s">
        <v>56</v>
      </c>
      <c r="Q5" s="9" t="s">
        <v>57</v>
      </c>
      <c r="R5" s="9" t="s">
        <v>58</v>
      </c>
      <c r="S5" s="9" t="s">
        <v>59</v>
      </c>
    </row>
    <row r="6" customFormat="false" ht="36" hidden="false" customHeight="true" outlineLevel="0" collapsed="false">
      <c r="A6" s="46" t="n">
        <v>1</v>
      </c>
      <c r="B6" s="47" t="s">
        <v>60</v>
      </c>
      <c r="C6" s="46" t="s">
        <v>61</v>
      </c>
      <c r="D6" s="48" t="s">
        <v>62</v>
      </c>
      <c r="E6" s="49" t="s">
        <v>63</v>
      </c>
      <c r="F6" s="46" t="s">
        <v>64</v>
      </c>
      <c r="G6" s="50" t="e">
        <f aca="false">ROUND(0*$H$3,0)</f>
        <v>#VALUE!</v>
      </c>
      <c r="H6" s="51" t="e">
        <f aca="false">$C$3+G6</f>
        <v>#VALUE!</v>
      </c>
      <c r="I6" s="52"/>
      <c r="J6" s="53" t="n">
        <f aca="false">IF(I6="Complete",1,IF(I6="Skipped",1,IF(I6="Blocked",0.5,IF(I6="In Progress",0.25,0))))</f>
        <v>0</v>
      </c>
      <c r="K6" s="54"/>
      <c r="L6" s="55"/>
      <c r="M6" s="56"/>
      <c r="N6" s="57" t="str">
        <f aca="false">IF(M6="","",M6-H6)</f>
        <v/>
      </c>
      <c r="O6" s="58" t="str">
        <f aca="false">IF(M6="","",ABS(M6-H6)*24)</f>
        <v/>
      </c>
      <c r="P6" s="46"/>
      <c r="Q6" s="59" t="s">
        <v>65</v>
      </c>
      <c r="R6" s="59" t="s">
        <v>66</v>
      </c>
      <c r="S6" s="59" t="s">
        <v>67</v>
      </c>
    </row>
    <row r="7" customFormat="false" ht="36" hidden="false" customHeight="true" outlineLevel="0" collapsed="false">
      <c r="A7" s="23" t="n">
        <v>2</v>
      </c>
      <c r="B7" s="60" t="s">
        <v>60</v>
      </c>
      <c r="C7" s="23" t="s">
        <v>68</v>
      </c>
      <c r="D7" s="61" t="s">
        <v>69</v>
      </c>
      <c r="E7" s="62" t="s">
        <v>70</v>
      </c>
      <c r="F7" s="23" t="s">
        <v>64</v>
      </c>
      <c r="G7" s="26" t="e">
        <f aca="false">ROUND(0*$H$3,0)</f>
        <v>#VALUE!</v>
      </c>
      <c r="H7" s="25" t="e">
        <f aca="false">$C$3+G7</f>
        <v>#VALUE!</v>
      </c>
      <c r="I7" s="52"/>
      <c r="J7" s="53" t="n">
        <f aca="false">IF(I7="Complete",1,IF(I7="Skipped",1,IF(I7="Blocked",0.5,IF(I7="In Progress",0.25,0))))</f>
        <v>0</v>
      </c>
      <c r="K7" s="54"/>
      <c r="L7" s="55"/>
      <c r="M7" s="56"/>
      <c r="N7" s="57" t="str">
        <f aca="false">IF(M7="","",M7-H7)</f>
        <v/>
      </c>
      <c r="O7" s="58" t="str">
        <f aca="false">IF(M7="","",ABS(M7-H7)*24)</f>
        <v/>
      </c>
      <c r="P7" s="23"/>
      <c r="Q7" s="63" t="s">
        <v>71</v>
      </c>
      <c r="R7" s="63" t="s">
        <v>66</v>
      </c>
      <c r="S7" s="63" t="s">
        <v>72</v>
      </c>
    </row>
    <row r="8" customFormat="false" ht="36" hidden="false" customHeight="true" outlineLevel="0" collapsed="false">
      <c r="A8" s="11" t="n">
        <v>3</v>
      </c>
      <c r="B8" s="64" t="s">
        <v>60</v>
      </c>
      <c r="C8" s="11" t="s">
        <v>73</v>
      </c>
      <c r="D8" s="65" t="s">
        <v>74</v>
      </c>
      <c r="E8" s="66" t="s">
        <v>75</v>
      </c>
      <c r="F8" s="11" t="s">
        <v>64</v>
      </c>
      <c r="G8" s="17" t="e">
        <f aca="false">ROUND(0*$H$3,0)</f>
        <v>#VALUE!</v>
      </c>
      <c r="H8" s="16" t="e">
        <f aca="false">$C$3+G8</f>
        <v>#VALUE!</v>
      </c>
      <c r="I8" s="52"/>
      <c r="J8" s="53" t="n">
        <f aca="false">IF(I8="Complete",1,IF(I8="Skipped",1,IF(I8="Blocked",0.5,IF(I8="In Progress",0.25,0))))</f>
        <v>0</v>
      </c>
      <c r="K8" s="54"/>
      <c r="L8" s="55"/>
      <c r="M8" s="56"/>
      <c r="N8" s="57" t="str">
        <f aca="false">IF(M8="","",M8-H8)</f>
        <v/>
      </c>
      <c r="O8" s="58" t="str">
        <f aca="false">IF(M8="","",ABS(M8-H8)*24)</f>
        <v/>
      </c>
      <c r="P8" s="11"/>
      <c r="Q8" s="67" t="s">
        <v>76</v>
      </c>
      <c r="R8" s="67" t="s">
        <v>66</v>
      </c>
      <c r="S8" s="67" t="s">
        <v>77</v>
      </c>
    </row>
    <row r="9" customFormat="false" ht="36" hidden="false" customHeight="true" outlineLevel="0" collapsed="false">
      <c r="A9" s="23" t="n">
        <v>4</v>
      </c>
      <c r="B9" s="60" t="s">
        <v>60</v>
      </c>
      <c r="C9" s="23" t="s">
        <v>78</v>
      </c>
      <c r="D9" s="61" t="s">
        <v>79</v>
      </c>
      <c r="E9" s="62" t="s">
        <v>80</v>
      </c>
      <c r="F9" s="23" t="s">
        <v>64</v>
      </c>
      <c r="G9" s="26" t="e">
        <f aca="false">ROUND(1*$H$3,0)</f>
        <v>#VALUE!</v>
      </c>
      <c r="H9" s="25" t="e">
        <f aca="false">$C$3+G9</f>
        <v>#VALUE!</v>
      </c>
      <c r="I9" s="52"/>
      <c r="J9" s="53" t="n">
        <f aca="false">IF(I9="Complete",1,IF(I9="Skipped",1,IF(I9="Blocked",0.5,IF(I9="In Progress",0.25,0))))</f>
        <v>0</v>
      </c>
      <c r="K9" s="54"/>
      <c r="L9" s="55"/>
      <c r="M9" s="56"/>
      <c r="N9" s="57" t="str">
        <f aca="false">IF(M9="","",M9-H9)</f>
        <v/>
      </c>
      <c r="O9" s="58" t="str">
        <f aca="false">IF(M9="","",ABS(M9-H9)*24)</f>
        <v/>
      </c>
      <c r="P9" s="23"/>
      <c r="Q9" s="63" t="s">
        <v>81</v>
      </c>
      <c r="R9" s="63" t="s">
        <v>66</v>
      </c>
      <c r="S9" s="63" t="s">
        <v>82</v>
      </c>
    </row>
    <row r="10" customFormat="false" ht="36" hidden="false" customHeight="true" outlineLevel="0" collapsed="false">
      <c r="A10" s="11" t="n">
        <v>5</v>
      </c>
      <c r="B10" s="64" t="s">
        <v>60</v>
      </c>
      <c r="C10" s="11" t="s">
        <v>83</v>
      </c>
      <c r="D10" s="65" t="s">
        <v>84</v>
      </c>
      <c r="E10" s="66" t="s">
        <v>85</v>
      </c>
      <c r="F10" s="11" t="s">
        <v>64</v>
      </c>
      <c r="G10" s="17" t="e">
        <f aca="false">ROUND(1*$H$3,0)</f>
        <v>#VALUE!</v>
      </c>
      <c r="H10" s="16" t="e">
        <f aca="false">$C$3+G10</f>
        <v>#VALUE!</v>
      </c>
      <c r="I10" s="52"/>
      <c r="J10" s="53" t="n">
        <f aca="false">IF(I10="Complete",1,IF(I10="Skipped",1,IF(I10="Blocked",0.5,IF(I10="In Progress",0.25,0))))</f>
        <v>0</v>
      </c>
      <c r="K10" s="54"/>
      <c r="L10" s="55"/>
      <c r="M10" s="56"/>
      <c r="N10" s="57" t="str">
        <f aca="false">IF(M10="","",M10-H10)</f>
        <v/>
      </c>
      <c r="O10" s="58" t="str">
        <f aca="false">IF(M10="","",ABS(M10-H10)*24)</f>
        <v/>
      </c>
      <c r="P10" s="11"/>
      <c r="Q10" s="67" t="s">
        <v>86</v>
      </c>
      <c r="R10" s="67" t="s">
        <v>66</v>
      </c>
      <c r="S10" s="67" t="s">
        <v>87</v>
      </c>
    </row>
    <row r="11" customFormat="false" ht="36" hidden="false" customHeight="true" outlineLevel="0" collapsed="false">
      <c r="A11" s="23" t="n">
        <v>6</v>
      </c>
      <c r="B11" s="60" t="s">
        <v>60</v>
      </c>
      <c r="C11" s="23" t="s">
        <v>88</v>
      </c>
      <c r="D11" s="61" t="s">
        <v>89</v>
      </c>
      <c r="E11" s="62" t="s">
        <v>90</v>
      </c>
      <c r="F11" s="23" t="s">
        <v>64</v>
      </c>
      <c r="G11" s="26" t="e">
        <f aca="false">ROUND(1*$H$3,0)</f>
        <v>#VALUE!</v>
      </c>
      <c r="H11" s="25" t="e">
        <f aca="false">$C$3+G11</f>
        <v>#VALUE!</v>
      </c>
      <c r="I11" s="52"/>
      <c r="J11" s="53" t="n">
        <f aca="false">IF(I11="Complete",1,IF(I11="Skipped",1,IF(I11="Blocked",0.5,IF(I11="In Progress",0.25,0))))</f>
        <v>0</v>
      </c>
      <c r="K11" s="54"/>
      <c r="L11" s="55"/>
      <c r="M11" s="56"/>
      <c r="N11" s="57" t="str">
        <f aca="false">IF(M11="","",M11-H11)</f>
        <v/>
      </c>
      <c r="O11" s="58" t="str">
        <f aca="false">IF(M11="","",ABS(M11-H11)*24)</f>
        <v/>
      </c>
      <c r="P11" s="23"/>
      <c r="Q11" s="63" t="s">
        <v>91</v>
      </c>
      <c r="R11" s="63" t="s">
        <v>66</v>
      </c>
      <c r="S11" s="63" t="s">
        <v>92</v>
      </c>
    </row>
    <row r="12" customFormat="false" ht="36" hidden="false" customHeight="true" outlineLevel="0" collapsed="false">
      <c r="A12" s="11" t="n">
        <v>7</v>
      </c>
      <c r="B12" s="64" t="s">
        <v>60</v>
      </c>
      <c r="C12" s="11" t="s">
        <v>93</v>
      </c>
      <c r="D12" s="65" t="s">
        <v>94</v>
      </c>
      <c r="E12" s="66" t="s">
        <v>95</v>
      </c>
      <c r="F12" s="11" t="s">
        <v>96</v>
      </c>
      <c r="G12" s="17" t="e">
        <f aca="false">ROUND(1*$H$3,0)</f>
        <v>#VALUE!</v>
      </c>
      <c r="H12" s="16" t="e">
        <f aca="false">$C$3+G12</f>
        <v>#VALUE!</v>
      </c>
      <c r="I12" s="52"/>
      <c r="J12" s="53" t="n">
        <f aca="false">IF(I12="Complete",1,IF(I12="Skipped",1,IF(I12="Blocked",0.5,IF(I12="In Progress",0.25,0))))</f>
        <v>0</v>
      </c>
      <c r="K12" s="54"/>
      <c r="L12" s="55"/>
      <c r="M12" s="56"/>
      <c r="N12" s="57" t="str">
        <f aca="false">IF(M12="","",M12-H12)</f>
        <v/>
      </c>
      <c r="O12" s="58" t="str">
        <f aca="false">IF(M12="","",ABS(M12-H12)*24)</f>
        <v/>
      </c>
      <c r="P12" s="11"/>
      <c r="Q12" s="67" t="s">
        <v>97</v>
      </c>
      <c r="R12" s="67" t="s">
        <v>66</v>
      </c>
      <c r="S12" s="67" t="s">
        <v>98</v>
      </c>
    </row>
    <row r="13" customFormat="false" ht="36" hidden="false" customHeight="true" outlineLevel="0" collapsed="false">
      <c r="A13" s="23" t="n">
        <v>8</v>
      </c>
      <c r="B13" s="60" t="s">
        <v>60</v>
      </c>
      <c r="C13" s="23" t="s">
        <v>99</v>
      </c>
      <c r="D13" s="61" t="s">
        <v>100</v>
      </c>
      <c r="E13" s="62" t="s">
        <v>101</v>
      </c>
      <c r="F13" s="23" t="s">
        <v>64</v>
      </c>
      <c r="G13" s="26" t="e">
        <f aca="false">ROUND(1*$H$3,0)</f>
        <v>#VALUE!</v>
      </c>
      <c r="H13" s="25" t="e">
        <f aca="false">$C$3+G13</f>
        <v>#VALUE!</v>
      </c>
      <c r="I13" s="52"/>
      <c r="J13" s="53" t="n">
        <f aca="false">IF(I13="Complete",1,IF(I13="Skipped",1,IF(I13="Blocked",0.5,IF(I13="In Progress",0.25,0))))</f>
        <v>0</v>
      </c>
      <c r="K13" s="54"/>
      <c r="L13" s="55"/>
      <c r="M13" s="56"/>
      <c r="N13" s="57" t="str">
        <f aca="false">IF(M13="","",M13-H13)</f>
        <v/>
      </c>
      <c r="O13" s="58" t="str">
        <f aca="false">IF(M13="","",ABS(M13-H13)*24)</f>
        <v/>
      </c>
      <c r="P13" s="23"/>
      <c r="Q13" s="63" t="s">
        <v>102</v>
      </c>
      <c r="R13" s="63" t="s">
        <v>103</v>
      </c>
      <c r="S13" s="63" t="s">
        <v>104</v>
      </c>
    </row>
    <row r="14" customFormat="false" ht="36" hidden="false" customHeight="true" outlineLevel="0" collapsed="false">
      <c r="A14" s="11" t="n">
        <v>9</v>
      </c>
      <c r="B14" s="64" t="s">
        <v>60</v>
      </c>
      <c r="C14" s="11" t="s">
        <v>105</v>
      </c>
      <c r="D14" s="65" t="s">
        <v>106</v>
      </c>
      <c r="E14" s="66" t="s">
        <v>107</v>
      </c>
      <c r="F14" s="11" t="s">
        <v>64</v>
      </c>
      <c r="G14" s="17" t="e">
        <f aca="false">ROUND(2*$H$3,0)</f>
        <v>#VALUE!</v>
      </c>
      <c r="H14" s="16" t="e">
        <f aca="false">$C$3+G14</f>
        <v>#VALUE!</v>
      </c>
      <c r="I14" s="52"/>
      <c r="J14" s="53" t="n">
        <f aca="false">IF(I14="Complete",1,IF(I14="Skipped",1,IF(I14="Blocked",0.5,IF(I14="In Progress",0.25,0))))</f>
        <v>0</v>
      </c>
      <c r="K14" s="54"/>
      <c r="L14" s="55"/>
      <c r="M14" s="56"/>
      <c r="N14" s="57" t="str">
        <f aca="false">IF(M14="","",M14-H14)</f>
        <v/>
      </c>
      <c r="O14" s="58" t="str">
        <f aca="false">IF(M14="","",ABS(M14-H14)*24)</f>
        <v/>
      </c>
      <c r="P14" s="11"/>
      <c r="Q14" s="67" t="s">
        <v>108</v>
      </c>
      <c r="R14" s="67" t="s">
        <v>109</v>
      </c>
      <c r="S14" s="67" t="s">
        <v>110</v>
      </c>
    </row>
    <row r="15" customFormat="false" ht="36" hidden="false" customHeight="true" outlineLevel="0" collapsed="false">
      <c r="A15" s="23" t="n">
        <v>10</v>
      </c>
      <c r="B15" s="60" t="s">
        <v>60</v>
      </c>
      <c r="C15" s="23" t="s">
        <v>111</v>
      </c>
      <c r="D15" s="61" t="s">
        <v>112</v>
      </c>
      <c r="E15" s="62" t="s">
        <v>113</v>
      </c>
      <c r="F15" s="23" t="s">
        <v>114</v>
      </c>
      <c r="G15" s="26" t="e">
        <f aca="false">ROUND(2*$H$3,0)</f>
        <v>#VALUE!</v>
      </c>
      <c r="H15" s="25" t="e">
        <f aca="false">$C$3+G15</f>
        <v>#VALUE!</v>
      </c>
      <c r="I15" s="52"/>
      <c r="J15" s="53" t="n">
        <f aca="false">IF(I15="Complete",1,IF(I15="Skipped",1,IF(I15="Blocked",0.5,IF(I15="In Progress",0.25,0))))</f>
        <v>0</v>
      </c>
      <c r="K15" s="54"/>
      <c r="L15" s="55"/>
      <c r="M15" s="56"/>
      <c r="N15" s="57" t="str">
        <f aca="false">IF(M15="","",M15-H15)</f>
        <v/>
      </c>
      <c r="O15" s="58" t="str">
        <f aca="false">IF(M15="","",ABS(M15-H15)*24)</f>
        <v/>
      </c>
      <c r="P15" s="23"/>
      <c r="Q15" s="63" t="s">
        <v>115</v>
      </c>
      <c r="R15" s="63" t="s">
        <v>116</v>
      </c>
      <c r="S15" s="63" t="s">
        <v>117</v>
      </c>
    </row>
    <row r="16" customFormat="false" ht="36" hidden="false" customHeight="true" outlineLevel="0" collapsed="false">
      <c r="A16" s="46" t="n">
        <v>11</v>
      </c>
      <c r="B16" s="47" t="s">
        <v>118</v>
      </c>
      <c r="C16" s="46" t="s">
        <v>119</v>
      </c>
      <c r="D16" s="48" t="s">
        <v>120</v>
      </c>
      <c r="E16" s="49" t="s">
        <v>121</v>
      </c>
      <c r="F16" s="46" t="s">
        <v>64</v>
      </c>
      <c r="G16" s="50" t="e">
        <f aca="false">ROUND(3*$H$3,0)</f>
        <v>#VALUE!</v>
      </c>
      <c r="H16" s="51" t="e">
        <f aca="false">$C$3+G16</f>
        <v>#VALUE!</v>
      </c>
      <c r="I16" s="52"/>
      <c r="J16" s="53" t="n">
        <f aca="false">IF(I16="Complete",1,IF(I16="Skipped",1,IF(I16="Blocked",0.5,IF(I16="In Progress",0.25,0))))</f>
        <v>0</v>
      </c>
      <c r="K16" s="54"/>
      <c r="L16" s="55"/>
      <c r="M16" s="56"/>
      <c r="N16" s="57" t="str">
        <f aca="false">IF(M16="","",M16-H16)</f>
        <v/>
      </c>
      <c r="O16" s="58" t="str">
        <f aca="false">IF(M16="","",ABS(M16-H16)*24)</f>
        <v/>
      </c>
      <c r="P16" s="46"/>
      <c r="Q16" s="59" t="s">
        <v>122</v>
      </c>
      <c r="R16" s="59" t="s">
        <v>123</v>
      </c>
      <c r="S16" s="59" t="s">
        <v>124</v>
      </c>
    </row>
    <row r="17" customFormat="false" ht="36" hidden="false" customHeight="true" outlineLevel="0" collapsed="false">
      <c r="A17" s="23" t="n">
        <v>12</v>
      </c>
      <c r="B17" s="60" t="s">
        <v>118</v>
      </c>
      <c r="C17" s="23" t="s">
        <v>125</v>
      </c>
      <c r="D17" s="61" t="s">
        <v>126</v>
      </c>
      <c r="E17" s="62" t="s">
        <v>127</v>
      </c>
      <c r="F17" s="23" t="s">
        <v>64</v>
      </c>
      <c r="G17" s="26" t="e">
        <f aca="false">ROUND(3*$H$3,0)</f>
        <v>#VALUE!</v>
      </c>
      <c r="H17" s="25" t="e">
        <f aca="false">$C$3+G17</f>
        <v>#VALUE!</v>
      </c>
      <c r="I17" s="52"/>
      <c r="J17" s="53" t="n">
        <f aca="false">IF(I17="Complete",1,IF(I17="Skipped",1,IF(I17="Blocked",0.5,IF(I17="In Progress",0.25,0))))</f>
        <v>0</v>
      </c>
      <c r="K17" s="54"/>
      <c r="L17" s="55"/>
      <c r="M17" s="56"/>
      <c r="N17" s="57" t="str">
        <f aca="false">IF(M17="","",M17-H17)</f>
        <v/>
      </c>
      <c r="O17" s="58" t="str">
        <f aca="false">IF(M17="","",ABS(M17-H17)*24)</f>
        <v/>
      </c>
      <c r="P17" s="23"/>
      <c r="Q17" s="63" t="s">
        <v>128</v>
      </c>
      <c r="R17" s="63" t="s">
        <v>129</v>
      </c>
      <c r="S17" s="63" t="s">
        <v>130</v>
      </c>
    </row>
    <row r="18" customFormat="false" ht="36" hidden="false" customHeight="true" outlineLevel="0" collapsed="false">
      <c r="A18" s="11" t="n">
        <v>13</v>
      </c>
      <c r="B18" s="64" t="s">
        <v>118</v>
      </c>
      <c r="C18" s="11" t="s">
        <v>131</v>
      </c>
      <c r="D18" s="65" t="s">
        <v>132</v>
      </c>
      <c r="E18" s="66" t="s">
        <v>133</v>
      </c>
      <c r="F18" s="11" t="s">
        <v>64</v>
      </c>
      <c r="G18" s="17" t="e">
        <f aca="false">ROUND(3*$H$3,0)</f>
        <v>#VALUE!</v>
      </c>
      <c r="H18" s="16" t="e">
        <f aca="false">$C$3+G18</f>
        <v>#VALUE!</v>
      </c>
      <c r="I18" s="52"/>
      <c r="J18" s="53" t="n">
        <f aca="false">IF(I18="Complete",1,IF(I18="Skipped",1,IF(I18="Blocked",0.5,IF(I18="In Progress",0.25,0))))</f>
        <v>0</v>
      </c>
      <c r="K18" s="54"/>
      <c r="L18" s="55"/>
      <c r="M18" s="56"/>
      <c r="N18" s="57" t="str">
        <f aca="false">IF(M18="","",M18-H18)</f>
        <v/>
      </c>
      <c r="O18" s="58" t="str">
        <f aca="false">IF(M18="","",ABS(M18-H18)*24)</f>
        <v/>
      </c>
      <c r="P18" s="11"/>
      <c r="Q18" s="67" t="s">
        <v>134</v>
      </c>
      <c r="R18" s="67" t="s">
        <v>135</v>
      </c>
      <c r="S18" s="67" t="s">
        <v>136</v>
      </c>
    </row>
    <row r="19" customFormat="false" ht="36" hidden="false" customHeight="true" outlineLevel="0" collapsed="false">
      <c r="A19" s="23" t="n">
        <v>14</v>
      </c>
      <c r="B19" s="60" t="s">
        <v>118</v>
      </c>
      <c r="C19" s="23" t="s">
        <v>137</v>
      </c>
      <c r="D19" s="61" t="s">
        <v>138</v>
      </c>
      <c r="E19" s="62" t="s">
        <v>139</v>
      </c>
      <c r="F19" s="23" t="s">
        <v>64</v>
      </c>
      <c r="G19" s="26" t="e">
        <f aca="false">ROUND(3*$H$3,0)</f>
        <v>#VALUE!</v>
      </c>
      <c r="H19" s="25" t="e">
        <f aca="false">$C$3+G19</f>
        <v>#VALUE!</v>
      </c>
      <c r="I19" s="52"/>
      <c r="J19" s="53" t="n">
        <f aca="false">IF(I19="Complete",1,IF(I19="Skipped",1,IF(I19="Blocked",0.5,IF(I19="In Progress",0.25,0))))</f>
        <v>0</v>
      </c>
      <c r="K19" s="54"/>
      <c r="L19" s="55"/>
      <c r="M19" s="56"/>
      <c r="N19" s="57" t="str">
        <f aca="false">IF(M19="","",M19-H19)</f>
        <v/>
      </c>
      <c r="O19" s="58" t="str">
        <f aca="false">IF(M19="","",ABS(M19-H19)*24)</f>
        <v/>
      </c>
      <c r="P19" s="23"/>
      <c r="Q19" s="63" t="s">
        <v>140</v>
      </c>
      <c r="R19" s="63" t="s">
        <v>141</v>
      </c>
      <c r="S19" s="63" t="s">
        <v>142</v>
      </c>
    </row>
    <row r="20" customFormat="false" ht="36" hidden="false" customHeight="true" outlineLevel="0" collapsed="false">
      <c r="A20" s="11" t="n">
        <v>15</v>
      </c>
      <c r="B20" s="64" t="s">
        <v>118</v>
      </c>
      <c r="C20" s="11" t="s">
        <v>143</v>
      </c>
      <c r="D20" s="65" t="s">
        <v>144</v>
      </c>
      <c r="E20" s="66" t="s">
        <v>145</v>
      </c>
      <c r="F20" s="11" t="s">
        <v>64</v>
      </c>
      <c r="G20" s="17" t="e">
        <f aca="false">ROUND(3*$H$3,0)</f>
        <v>#VALUE!</v>
      </c>
      <c r="H20" s="16" t="e">
        <f aca="false">$C$3+G20</f>
        <v>#VALUE!</v>
      </c>
      <c r="I20" s="52"/>
      <c r="J20" s="53" t="n">
        <f aca="false">IF(I20="Complete",1,IF(I20="Skipped",1,IF(I20="Blocked",0.5,IF(I20="In Progress",0.25,0))))</f>
        <v>0</v>
      </c>
      <c r="K20" s="54"/>
      <c r="L20" s="55"/>
      <c r="M20" s="56"/>
      <c r="N20" s="57" t="str">
        <f aca="false">IF(M20="","",M20-H20)</f>
        <v/>
      </c>
      <c r="O20" s="58" t="str">
        <f aca="false">IF(M20="","",ABS(M20-H20)*24)</f>
        <v/>
      </c>
      <c r="P20" s="11"/>
      <c r="Q20" s="67" t="s">
        <v>146</v>
      </c>
      <c r="R20" s="67" t="s">
        <v>147</v>
      </c>
      <c r="S20" s="67" t="s">
        <v>148</v>
      </c>
    </row>
    <row r="21" customFormat="false" ht="36" hidden="false" customHeight="true" outlineLevel="0" collapsed="false">
      <c r="A21" s="23" t="n">
        <v>16</v>
      </c>
      <c r="B21" s="60" t="s">
        <v>118</v>
      </c>
      <c r="C21" s="23" t="s">
        <v>149</v>
      </c>
      <c r="D21" s="61" t="s">
        <v>150</v>
      </c>
      <c r="E21" s="62" t="s">
        <v>151</v>
      </c>
      <c r="F21" s="23" t="s">
        <v>152</v>
      </c>
      <c r="G21" s="26" t="e">
        <f aca="false">ROUND(3*$H$3,0)</f>
        <v>#VALUE!</v>
      </c>
      <c r="H21" s="25" t="e">
        <f aca="false">$C$3+G21</f>
        <v>#VALUE!</v>
      </c>
      <c r="I21" s="52"/>
      <c r="J21" s="53" t="n">
        <f aca="false">IF(I21="Complete",1,IF(I21="Skipped",1,IF(I21="Blocked",0.5,IF(I21="In Progress",0.25,0))))</f>
        <v>0</v>
      </c>
      <c r="K21" s="54"/>
      <c r="L21" s="55"/>
      <c r="M21" s="56"/>
      <c r="N21" s="57" t="str">
        <f aca="false">IF(M21="","",M21-H21)</f>
        <v/>
      </c>
      <c r="O21" s="58" t="str">
        <f aca="false">IF(M21="","",ABS(M21-H21)*24)</f>
        <v/>
      </c>
      <c r="P21" s="23"/>
      <c r="Q21" s="63" t="s">
        <v>153</v>
      </c>
      <c r="R21" s="63" t="s">
        <v>154</v>
      </c>
      <c r="S21" s="63" t="s">
        <v>155</v>
      </c>
    </row>
    <row r="22" customFormat="false" ht="36" hidden="false" customHeight="true" outlineLevel="0" collapsed="false">
      <c r="A22" s="46" t="n">
        <v>17</v>
      </c>
      <c r="B22" s="47" t="s">
        <v>156</v>
      </c>
      <c r="C22" s="46" t="s">
        <v>157</v>
      </c>
      <c r="D22" s="48" t="s">
        <v>158</v>
      </c>
      <c r="E22" s="49" t="s">
        <v>159</v>
      </c>
      <c r="F22" s="46" t="s">
        <v>64</v>
      </c>
      <c r="G22" s="50" t="e">
        <f aca="false">ROUND(4*$H$3,0)</f>
        <v>#VALUE!</v>
      </c>
      <c r="H22" s="51" t="e">
        <f aca="false">$C$3+G22</f>
        <v>#VALUE!</v>
      </c>
      <c r="I22" s="52"/>
      <c r="J22" s="53" t="n">
        <f aca="false">IF(I22="Complete",1,IF(I22="Skipped",1,IF(I22="Blocked",0.5,IF(I22="In Progress",0.25,0))))</f>
        <v>0</v>
      </c>
      <c r="K22" s="54"/>
      <c r="L22" s="55"/>
      <c r="M22" s="56"/>
      <c r="N22" s="57" t="str">
        <f aca="false">IF(M22="","",M22-H22)</f>
        <v/>
      </c>
      <c r="O22" s="58" t="str">
        <f aca="false">IF(M22="","",ABS(M22-H22)*24)</f>
        <v/>
      </c>
      <c r="P22" s="46"/>
      <c r="Q22" s="59" t="s">
        <v>160</v>
      </c>
      <c r="R22" s="59" t="s">
        <v>161</v>
      </c>
      <c r="S22" s="59" t="s">
        <v>162</v>
      </c>
    </row>
    <row r="23" customFormat="false" ht="36" hidden="false" customHeight="true" outlineLevel="0" collapsed="false">
      <c r="A23" s="23" t="n">
        <v>18</v>
      </c>
      <c r="B23" s="60" t="s">
        <v>156</v>
      </c>
      <c r="C23" s="23" t="s">
        <v>163</v>
      </c>
      <c r="D23" s="61" t="s">
        <v>164</v>
      </c>
      <c r="E23" s="62" t="s">
        <v>165</v>
      </c>
      <c r="F23" s="23" t="s">
        <v>64</v>
      </c>
      <c r="G23" s="26" t="e">
        <f aca="false">ROUND(4*$H$3,0)</f>
        <v>#VALUE!</v>
      </c>
      <c r="H23" s="25" t="e">
        <f aca="false">$C$3+G23</f>
        <v>#VALUE!</v>
      </c>
      <c r="I23" s="52"/>
      <c r="J23" s="53" t="n">
        <f aca="false">IF(I23="Complete",1,IF(I23="Skipped",1,IF(I23="Blocked",0.5,IF(I23="In Progress",0.25,0))))</f>
        <v>0</v>
      </c>
      <c r="K23" s="54"/>
      <c r="L23" s="55"/>
      <c r="M23" s="56"/>
      <c r="N23" s="57" t="str">
        <f aca="false">IF(M23="","",M23-H23)</f>
        <v/>
      </c>
      <c r="O23" s="58" t="str">
        <f aca="false">IF(M23="","",ABS(M23-H23)*24)</f>
        <v/>
      </c>
      <c r="P23" s="23"/>
      <c r="Q23" s="63" t="s">
        <v>166</v>
      </c>
      <c r="R23" s="63" t="s">
        <v>167</v>
      </c>
      <c r="S23" s="63"/>
    </row>
    <row r="24" customFormat="false" ht="36" hidden="false" customHeight="true" outlineLevel="0" collapsed="false">
      <c r="A24" s="11" t="n">
        <v>19</v>
      </c>
      <c r="B24" s="64" t="s">
        <v>156</v>
      </c>
      <c r="C24" s="11" t="s">
        <v>168</v>
      </c>
      <c r="D24" s="65" t="s">
        <v>169</v>
      </c>
      <c r="E24" s="66" t="s">
        <v>170</v>
      </c>
      <c r="F24" s="11" t="s">
        <v>64</v>
      </c>
      <c r="G24" s="17" t="e">
        <f aca="false">ROUND(4*$H$3,0)</f>
        <v>#VALUE!</v>
      </c>
      <c r="H24" s="16" t="e">
        <f aca="false">$C$3+G24</f>
        <v>#VALUE!</v>
      </c>
      <c r="I24" s="52"/>
      <c r="J24" s="53" t="n">
        <f aca="false">IF(I24="Complete",1,IF(I24="Skipped",1,IF(I24="Blocked",0.5,IF(I24="In Progress",0.25,0))))</f>
        <v>0</v>
      </c>
      <c r="K24" s="54"/>
      <c r="L24" s="55"/>
      <c r="M24" s="56"/>
      <c r="N24" s="57" t="str">
        <f aca="false">IF(M24="","",M24-H24)</f>
        <v/>
      </c>
      <c r="O24" s="58" t="str">
        <f aca="false">IF(M24="","",ABS(M24-H24)*24)</f>
        <v/>
      </c>
      <c r="P24" s="11"/>
      <c r="Q24" s="67" t="s">
        <v>171</v>
      </c>
      <c r="R24" s="67" t="s">
        <v>172</v>
      </c>
      <c r="S24" s="67" t="s">
        <v>173</v>
      </c>
    </row>
    <row r="25" customFormat="false" ht="36" hidden="false" customHeight="true" outlineLevel="0" collapsed="false">
      <c r="A25" s="23" t="n">
        <v>20</v>
      </c>
      <c r="B25" s="60" t="s">
        <v>156</v>
      </c>
      <c r="C25" s="23" t="s">
        <v>174</v>
      </c>
      <c r="D25" s="61" t="s">
        <v>175</v>
      </c>
      <c r="E25" s="62" t="s">
        <v>176</v>
      </c>
      <c r="F25" s="23" t="s">
        <v>64</v>
      </c>
      <c r="G25" s="26" t="e">
        <f aca="false">ROUND(4*$H$3,0)</f>
        <v>#VALUE!</v>
      </c>
      <c r="H25" s="25" t="e">
        <f aca="false">$C$3+G25</f>
        <v>#VALUE!</v>
      </c>
      <c r="I25" s="52"/>
      <c r="J25" s="53" t="n">
        <f aca="false">IF(I25="Complete",1,IF(I25="Skipped",1,IF(I25="Blocked",0.5,IF(I25="In Progress",0.25,0))))</f>
        <v>0</v>
      </c>
      <c r="K25" s="54"/>
      <c r="L25" s="55"/>
      <c r="M25" s="56"/>
      <c r="N25" s="57" t="str">
        <f aca="false">IF(M25="","",M25-H25)</f>
        <v/>
      </c>
      <c r="O25" s="58" t="str">
        <f aca="false">IF(M25="","",ABS(M25-H25)*24)</f>
        <v/>
      </c>
      <c r="P25" s="23"/>
      <c r="Q25" s="63" t="s">
        <v>177</v>
      </c>
      <c r="R25" s="63" t="s">
        <v>178</v>
      </c>
      <c r="S25" s="63" t="s">
        <v>179</v>
      </c>
    </row>
    <row r="26" customFormat="false" ht="36" hidden="false" customHeight="true" outlineLevel="0" collapsed="false">
      <c r="A26" s="11" t="n">
        <v>21</v>
      </c>
      <c r="B26" s="64" t="s">
        <v>156</v>
      </c>
      <c r="C26" s="11" t="s">
        <v>180</v>
      </c>
      <c r="D26" s="65" t="s">
        <v>181</v>
      </c>
      <c r="E26" s="66" t="s">
        <v>182</v>
      </c>
      <c r="F26" s="11" t="s">
        <v>64</v>
      </c>
      <c r="G26" s="17" t="e">
        <f aca="false">ROUND(4*$H$3,0)</f>
        <v>#VALUE!</v>
      </c>
      <c r="H26" s="16" t="e">
        <f aca="false">$C$3+G26</f>
        <v>#VALUE!</v>
      </c>
      <c r="I26" s="52"/>
      <c r="J26" s="53" t="n">
        <f aca="false">IF(I26="Complete",1,IF(I26="Skipped",1,IF(I26="Blocked",0.5,IF(I26="In Progress",0.25,0))))</f>
        <v>0</v>
      </c>
      <c r="K26" s="54"/>
      <c r="L26" s="55"/>
      <c r="M26" s="56"/>
      <c r="N26" s="57" t="str">
        <f aca="false">IF(M26="","",M26-H26)</f>
        <v/>
      </c>
      <c r="O26" s="58" t="str">
        <f aca="false">IF(M26="","",ABS(M26-H26)*24)</f>
        <v/>
      </c>
      <c r="P26" s="11"/>
      <c r="Q26" s="67" t="s">
        <v>183</v>
      </c>
      <c r="R26" s="67" t="s">
        <v>184</v>
      </c>
      <c r="S26" s="67" t="s">
        <v>185</v>
      </c>
    </row>
    <row r="27" customFormat="false" ht="36" hidden="false" customHeight="true" outlineLevel="0" collapsed="false">
      <c r="A27" s="23" t="n">
        <v>22</v>
      </c>
      <c r="B27" s="60" t="s">
        <v>156</v>
      </c>
      <c r="C27" s="23" t="s">
        <v>186</v>
      </c>
      <c r="D27" s="61" t="s">
        <v>187</v>
      </c>
      <c r="E27" s="62" t="s">
        <v>188</v>
      </c>
      <c r="F27" s="23" t="s">
        <v>64</v>
      </c>
      <c r="G27" s="26" t="e">
        <f aca="false">ROUND(4*$H$3,0)</f>
        <v>#VALUE!</v>
      </c>
      <c r="H27" s="25" t="e">
        <f aca="false">$C$3+G27</f>
        <v>#VALUE!</v>
      </c>
      <c r="I27" s="52"/>
      <c r="J27" s="53" t="n">
        <f aca="false">IF(I27="Complete",1,IF(I27="Skipped",1,IF(I27="Blocked",0.5,IF(I27="In Progress",0.25,0))))</f>
        <v>0</v>
      </c>
      <c r="K27" s="54"/>
      <c r="L27" s="55"/>
      <c r="M27" s="56"/>
      <c r="N27" s="57" t="str">
        <f aca="false">IF(M27="","",M27-H27)</f>
        <v/>
      </c>
      <c r="O27" s="58" t="str">
        <f aca="false">IF(M27="","",ABS(M27-H27)*24)</f>
        <v/>
      </c>
      <c r="P27" s="23"/>
      <c r="Q27" s="63" t="s">
        <v>189</v>
      </c>
      <c r="R27" s="63" t="s">
        <v>190</v>
      </c>
      <c r="S27" s="63" t="s">
        <v>191</v>
      </c>
    </row>
    <row r="28" customFormat="false" ht="36" hidden="false" customHeight="true" outlineLevel="0" collapsed="false">
      <c r="A28" s="11" t="n">
        <v>23</v>
      </c>
      <c r="B28" s="64" t="s">
        <v>156</v>
      </c>
      <c r="C28" s="11" t="s">
        <v>192</v>
      </c>
      <c r="D28" s="65" t="s">
        <v>193</v>
      </c>
      <c r="E28" s="66" t="s">
        <v>194</v>
      </c>
      <c r="F28" s="11" t="s">
        <v>64</v>
      </c>
      <c r="G28" s="17" t="e">
        <f aca="false">ROUND(5*$H$3,0)</f>
        <v>#VALUE!</v>
      </c>
      <c r="H28" s="16" t="e">
        <f aca="false">$C$3+G28</f>
        <v>#VALUE!</v>
      </c>
      <c r="I28" s="52"/>
      <c r="J28" s="53" t="n">
        <f aca="false">IF(I28="Complete",1,IF(I28="Skipped",1,IF(I28="Blocked",0.5,IF(I28="In Progress",0.25,0))))</f>
        <v>0</v>
      </c>
      <c r="K28" s="54"/>
      <c r="L28" s="55"/>
      <c r="M28" s="56"/>
      <c r="N28" s="57" t="str">
        <f aca="false">IF(M28="","",M28-H28)</f>
        <v/>
      </c>
      <c r="O28" s="58" t="str">
        <f aca="false">IF(M28="","",ABS(M28-H28)*24)</f>
        <v/>
      </c>
      <c r="P28" s="11"/>
      <c r="Q28" s="67" t="s">
        <v>195</v>
      </c>
      <c r="R28" s="67" t="s">
        <v>196</v>
      </c>
      <c r="S28" s="67" t="s">
        <v>197</v>
      </c>
    </row>
    <row r="29" customFormat="false" ht="36" hidden="false" customHeight="true" outlineLevel="0" collapsed="false">
      <c r="A29" s="23" t="n">
        <v>24</v>
      </c>
      <c r="B29" s="60" t="s">
        <v>156</v>
      </c>
      <c r="C29" s="23" t="s">
        <v>198</v>
      </c>
      <c r="D29" s="61" t="s">
        <v>199</v>
      </c>
      <c r="E29" s="62" t="s">
        <v>200</v>
      </c>
      <c r="F29" s="23" t="s">
        <v>64</v>
      </c>
      <c r="G29" s="26" t="e">
        <f aca="false">ROUND(5*$H$3,0)</f>
        <v>#VALUE!</v>
      </c>
      <c r="H29" s="25" t="e">
        <f aca="false">$C$3+G29</f>
        <v>#VALUE!</v>
      </c>
      <c r="I29" s="52"/>
      <c r="J29" s="53" t="n">
        <f aca="false">IF(I29="Complete",1,IF(I29="Skipped",1,IF(I29="Blocked",0.5,IF(I29="In Progress",0.25,0))))</f>
        <v>0</v>
      </c>
      <c r="K29" s="54"/>
      <c r="L29" s="55"/>
      <c r="M29" s="56"/>
      <c r="N29" s="57" t="str">
        <f aca="false">IF(M29="","",M29-H29)</f>
        <v/>
      </c>
      <c r="O29" s="58" t="str">
        <f aca="false">IF(M29="","",ABS(M29-H29)*24)</f>
        <v/>
      </c>
      <c r="P29" s="23"/>
      <c r="Q29" s="63" t="s">
        <v>201</v>
      </c>
      <c r="R29" s="63" t="s">
        <v>202</v>
      </c>
      <c r="S29" s="63" t="s">
        <v>203</v>
      </c>
    </row>
    <row r="30" customFormat="false" ht="36" hidden="false" customHeight="true" outlineLevel="0" collapsed="false">
      <c r="A30" s="11" t="n">
        <v>25</v>
      </c>
      <c r="B30" s="64" t="s">
        <v>156</v>
      </c>
      <c r="C30" s="11" t="s">
        <v>204</v>
      </c>
      <c r="D30" s="65" t="s">
        <v>205</v>
      </c>
      <c r="E30" s="66" t="s">
        <v>206</v>
      </c>
      <c r="F30" s="11" t="s">
        <v>64</v>
      </c>
      <c r="G30" s="17" t="e">
        <f aca="false">ROUND(5*$H$3,0)</f>
        <v>#VALUE!</v>
      </c>
      <c r="H30" s="16" t="e">
        <f aca="false">$C$3+G30</f>
        <v>#VALUE!</v>
      </c>
      <c r="I30" s="52"/>
      <c r="J30" s="53" t="n">
        <f aca="false">IF(I30="Complete",1,IF(I30="Skipped",1,IF(I30="Blocked",0.5,IF(I30="In Progress",0.25,0))))</f>
        <v>0</v>
      </c>
      <c r="K30" s="54"/>
      <c r="L30" s="55"/>
      <c r="M30" s="56"/>
      <c r="N30" s="57" t="str">
        <f aca="false">IF(M30="","",M30-H30)</f>
        <v/>
      </c>
      <c r="O30" s="58" t="str">
        <f aca="false">IF(M30="","",ABS(M30-H30)*24)</f>
        <v/>
      </c>
      <c r="P30" s="11"/>
      <c r="Q30" s="67" t="s">
        <v>207</v>
      </c>
      <c r="R30" s="67" t="s">
        <v>208</v>
      </c>
      <c r="S30" s="67" t="s">
        <v>209</v>
      </c>
    </row>
    <row r="31" customFormat="false" ht="36" hidden="false" customHeight="true" outlineLevel="0" collapsed="false">
      <c r="A31" s="46" t="n">
        <v>26</v>
      </c>
      <c r="B31" s="47" t="s">
        <v>210</v>
      </c>
      <c r="C31" s="46" t="s">
        <v>211</v>
      </c>
      <c r="D31" s="48" t="s">
        <v>212</v>
      </c>
      <c r="E31" s="49" t="s">
        <v>213</v>
      </c>
      <c r="F31" s="46" t="s">
        <v>214</v>
      </c>
      <c r="G31" s="50" t="e">
        <f aca="false">ROUND(6*$H$3,0)</f>
        <v>#VALUE!</v>
      </c>
      <c r="H31" s="51" t="e">
        <f aca="false">$C$3+G31</f>
        <v>#VALUE!</v>
      </c>
      <c r="I31" s="52"/>
      <c r="J31" s="53" t="n">
        <f aca="false">IF(I31="Complete",1,IF(I31="Skipped",1,IF(I31="Blocked",0.5,IF(I31="In Progress",0.25,0))))</f>
        <v>0</v>
      </c>
      <c r="K31" s="54"/>
      <c r="L31" s="55"/>
      <c r="M31" s="56"/>
      <c r="N31" s="57" t="str">
        <f aca="false">IF(M31="","",M31-H31)</f>
        <v/>
      </c>
      <c r="O31" s="58" t="str">
        <f aca="false">IF(M31="","",ABS(M31-H31)*24)</f>
        <v/>
      </c>
      <c r="P31" s="46"/>
      <c r="Q31" s="59" t="s">
        <v>215</v>
      </c>
      <c r="R31" s="59" t="s">
        <v>216</v>
      </c>
      <c r="S31" s="59" t="s">
        <v>217</v>
      </c>
    </row>
    <row r="32" customFormat="false" ht="36" hidden="false" customHeight="true" outlineLevel="0" collapsed="false">
      <c r="A32" s="11" t="n">
        <v>27</v>
      </c>
      <c r="B32" s="64" t="s">
        <v>210</v>
      </c>
      <c r="C32" s="11" t="s">
        <v>218</v>
      </c>
      <c r="D32" s="65" t="s">
        <v>219</v>
      </c>
      <c r="E32" s="66" t="s">
        <v>220</v>
      </c>
      <c r="F32" s="11" t="s">
        <v>214</v>
      </c>
      <c r="G32" s="17" t="e">
        <f aca="false">ROUND(6*$H$3,0)</f>
        <v>#VALUE!</v>
      </c>
      <c r="H32" s="16" t="e">
        <f aca="false">$C$3+G32</f>
        <v>#VALUE!</v>
      </c>
      <c r="I32" s="52"/>
      <c r="J32" s="53" t="n">
        <f aca="false">IF(I32="Complete",1,IF(I32="Skipped",1,IF(I32="Blocked",0.5,IF(I32="In Progress",0.25,0))))</f>
        <v>0</v>
      </c>
      <c r="K32" s="54"/>
      <c r="L32" s="55"/>
      <c r="M32" s="56"/>
      <c r="N32" s="57" t="str">
        <f aca="false">IF(M32="","",M32-H32)</f>
        <v/>
      </c>
      <c r="O32" s="58" t="str">
        <f aca="false">IF(M32="","",ABS(M32-H32)*24)</f>
        <v/>
      </c>
      <c r="P32" s="11"/>
      <c r="Q32" s="67" t="s">
        <v>221</v>
      </c>
      <c r="R32" s="67" t="s">
        <v>222</v>
      </c>
      <c r="S32" s="67" t="s">
        <v>223</v>
      </c>
    </row>
    <row r="33" customFormat="false" ht="36" hidden="false" customHeight="true" outlineLevel="0" collapsed="false">
      <c r="A33" s="23" t="n">
        <v>28</v>
      </c>
      <c r="B33" s="60" t="s">
        <v>210</v>
      </c>
      <c r="C33" s="23" t="s">
        <v>224</v>
      </c>
      <c r="D33" s="61" t="s">
        <v>225</v>
      </c>
      <c r="E33" s="62" t="s">
        <v>226</v>
      </c>
      <c r="F33" s="23" t="s">
        <v>64</v>
      </c>
      <c r="G33" s="26" t="e">
        <f aca="false">ROUND(7*$H$3,0)</f>
        <v>#VALUE!</v>
      </c>
      <c r="H33" s="25" t="e">
        <f aca="false">$C$3+G33</f>
        <v>#VALUE!</v>
      </c>
      <c r="I33" s="52"/>
      <c r="J33" s="53" t="n">
        <f aca="false">IF(I33="Complete",1,IF(I33="Skipped",1,IF(I33="Blocked",0.5,IF(I33="In Progress",0.25,0))))</f>
        <v>0</v>
      </c>
      <c r="K33" s="54"/>
      <c r="L33" s="55"/>
      <c r="M33" s="56"/>
      <c r="N33" s="57" t="str">
        <f aca="false">IF(M33="","",M33-H33)</f>
        <v/>
      </c>
      <c r="O33" s="58" t="str">
        <f aca="false">IF(M33="","",ABS(M33-H33)*24)</f>
        <v/>
      </c>
      <c r="P33" s="23"/>
      <c r="Q33" s="63" t="s">
        <v>227</v>
      </c>
      <c r="R33" s="63" t="s">
        <v>228</v>
      </c>
      <c r="S33" s="63" t="s">
        <v>229</v>
      </c>
    </row>
    <row r="34" customFormat="false" ht="36" hidden="false" customHeight="true" outlineLevel="0" collapsed="false">
      <c r="A34" s="11" t="n">
        <v>29</v>
      </c>
      <c r="B34" s="64" t="s">
        <v>210</v>
      </c>
      <c r="C34" s="11" t="s">
        <v>230</v>
      </c>
      <c r="D34" s="65" t="s">
        <v>231</v>
      </c>
      <c r="E34" s="66" t="s">
        <v>232</v>
      </c>
      <c r="F34" s="11" t="s">
        <v>214</v>
      </c>
      <c r="G34" s="17" t="e">
        <f aca="false">ROUND(8*$H$3,0)</f>
        <v>#VALUE!</v>
      </c>
      <c r="H34" s="16" t="e">
        <f aca="false">$C$3+G34</f>
        <v>#VALUE!</v>
      </c>
      <c r="I34" s="52"/>
      <c r="J34" s="53" t="n">
        <f aca="false">IF(I34="Complete",1,IF(I34="Skipped",1,IF(I34="Blocked",0.5,IF(I34="In Progress",0.25,0))))</f>
        <v>0</v>
      </c>
      <c r="K34" s="54"/>
      <c r="L34" s="55"/>
      <c r="M34" s="56"/>
      <c r="N34" s="57" t="str">
        <f aca="false">IF(M34="","",M34-H34)</f>
        <v/>
      </c>
      <c r="O34" s="58" t="str">
        <f aca="false">IF(M34="","",ABS(M34-H34)*24)</f>
        <v/>
      </c>
      <c r="P34" s="11"/>
      <c r="Q34" s="67" t="s">
        <v>233</v>
      </c>
      <c r="R34" s="67" t="s">
        <v>66</v>
      </c>
      <c r="S34" s="67" t="s">
        <v>234</v>
      </c>
    </row>
    <row r="35" customFormat="false" ht="36" hidden="false" customHeight="true" outlineLevel="0" collapsed="false">
      <c r="A35" s="23" t="n">
        <v>30</v>
      </c>
      <c r="B35" s="60" t="s">
        <v>210</v>
      </c>
      <c r="C35" s="23" t="s">
        <v>235</v>
      </c>
      <c r="D35" s="61" t="s">
        <v>236</v>
      </c>
      <c r="E35" s="62" t="s">
        <v>237</v>
      </c>
      <c r="F35" s="23" t="s">
        <v>114</v>
      </c>
      <c r="G35" s="26" t="e">
        <f aca="false">ROUND(8*$H$3,0)</f>
        <v>#VALUE!</v>
      </c>
      <c r="H35" s="25" t="e">
        <f aca="false">$C$3+G35</f>
        <v>#VALUE!</v>
      </c>
      <c r="I35" s="52"/>
      <c r="J35" s="53" t="n">
        <f aca="false">IF(I35="Complete",1,IF(I35="Skipped",1,IF(I35="Blocked",0.5,IF(I35="In Progress",0.25,0))))</f>
        <v>0</v>
      </c>
      <c r="K35" s="54"/>
      <c r="L35" s="55"/>
      <c r="M35" s="56"/>
      <c r="N35" s="57" t="str">
        <f aca="false">IF(M35="","",M35-H35)</f>
        <v/>
      </c>
      <c r="O35" s="58" t="str">
        <f aca="false">IF(M35="","",ABS(M35-H35)*24)</f>
        <v/>
      </c>
      <c r="P35" s="23"/>
      <c r="Q35" s="63" t="s">
        <v>238</v>
      </c>
      <c r="R35" s="63" t="s">
        <v>239</v>
      </c>
      <c r="S35" s="63"/>
    </row>
    <row r="36" customFormat="false" ht="36" hidden="false" customHeight="true" outlineLevel="0" collapsed="false">
      <c r="A36" s="46" t="n">
        <v>31</v>
      </c>
      <c r="B36" s="47" t="s">
        <v>240</v>
      </c>
      <c r="C36" s="46" t="s">
        <v>241</v>
      </c>
      <c r="D36" s="48" t="s">
        <v>242</v>
      </c>
      <c r="E36" s="49" t="s">
        <v>243</v>
      </c>
      <c r="F36" s="46" t="s">
        <v>64</v>
      </c>
      <c r="G36" s="50" t="e">
        <f aca="false">ROUND(9*$H$3,0)</f>
        <v>#VALUE!</v>
      </c>
      <c r="H36" s="51" t="e">
        <f aca="false">$C$3+G36</f>
        <v>#VALUE!</v>
      </c>
      <c r="I36" s="52"/>
      <c r="J36" s="53" t="n">
        <f aca="false">IF(I36="Complete",1,IF(I36="Skipped",1,IF(I36="Blocked",0.5,IF(I36="In Progress",0.25,0))))</f>
        <v>0</v>
      </c>
      <c r="K36" s="54"/>
      <c r="L36" s="55"/>
      <c r="M36" s="56"/>
      <c r="N36" s="57" t="str">
        <f aca="false">IF(M36="","",M36-H36)</f>
        <v/>
      </c>
      <c r="O36" s="58" t="str">
        <f aca="false">IF(M36="","",ABS(M36-H36)*24)</f>
        <v/>
      </c>
      <c r="P36" s="46"/>
      <c r="Q36" s="59" t="s">
        <v>244</v>
      </c>
      <c r="R36" s="59" t="s">
        <v>245</v>
      </c>
      <c r="S36" s="59" t="s">
        <v>246</v>
      </c>
    </row>
    <row r="37" customFormat="false" ht="36" hidden="false" customHeight="true" outlineLevel="0" collapsed="false">
      <c r="A37" s="23" t="n">
        <v>32</v>
      </c>
      <c r="B37" s="60" t="s">
        <v>240</v>
      </c>
      <c r="C37" s="23" t="s">
        <v>247</v>
      </c>
      <c r="D37" s="61" t="s">
        <v>248</v>
      </c>
      <c r="E37" s="62" t="s">
        <v>249</v>
      </c>
      <c r="F37" s="23" t="s">
        <v>114</v>
      </c>
      <c r="G37" s="26" t="e">
        <f aca="false">ROUND(10*$H$3,0)</f>
        <v>#VALUE!</v>
      </c>
      <c r="H37" s="25" t="e">
        <f aca="false">$C$3+G37</f>
        <v>#VALUE!</v>
      </c>
      <c r="I37" s="52"/>
      <c r="J37" s="53" t="n">
        <f aca="false">IF(I37="Complete",1,IF(I37="Skipped",1,IF(I37="Blocked",0.5,IF(I37="In Progress",0.25,0))))</f>
        <v>0</v>
      </c>
      <c r="K37" s="54"/>
      <c r="L37" s="55"/>
      <c r="M37" s="56"/>
      <c r="N37" s="57" t="str">
        <f aca="false">IF(M37="","",M37-H37)</f>
        <v/>
      </c>
      <c r="O37" s="58" t="str">
        <f aca="false">IF(M37="","",ABS(M37-H37)*24)</f>
        <v/>
      </c>
      <c r="P37" s="23"/>
      <c r="Q37" s="63" t="s">
        <v>250</v>
      </c>
      <c r="R37" s="63" t="s">
        <v>251</v>
      </c>
      <c r="S37" s="63"/>
    </row>
    <row r="38" customFormat="false" ht="36" hidden="false" customHeight="true" outlineLevel="0" collapsed="false">
      <c r="A38" s="11" t="n">
        <v>33</v>
      </c>
      <c r="B38" s="64" t="s">
        <v>240</v>
      </c>
      <c r="C38" s="11" t="s">
        <v>252</v>
      </c>
      <c r="D38" s="65" t="s">
        <v>253</v>
      </c>
      <c r="E38" s="66" t="s">
        <v>254</v>
      </c>
      <c r="F38" s="11" t="s">
        <v>152</v>
      </c>
      <c r="G38" s="17" t="e">
        <f aca="false">ROUND(10*$H$3,0)</f>
        <v>#VALUE!</v>
      </c>
      <c r="H38" s="16" t="e">
        <f aca="false">$C$3+G38</f>
        <v>#VALUE!</v>
      </c>
      <c r="I38" s="52"/>
      <c r="J38" s="53" t="n">
        <f aca="false">IF(I38="Complete",1,IF(I38="Skipped",1,IF(I38="Blocked",0.5,IF(I38="In Progress",0.25,0))))</f>
        <v>0</v>
      </c>
      <c r="K38" s="54"/>
      <c r="L38" s="55"/>
      <c r="M38" s="56"/>
      <c r="N38" s="57" t="str">
        <f aca="false">IF(M38="","",M38-H38)</f>
        <v/>
      </c>
      <c r="O38" s="58" t="str">
        <f aca="false">IF(M38="","",ABS(M38-H38)*24)</f>
        <v/>
      </c>
      <c r="P38" s="11"/>
      <c r="Q38" s="67" t="s">
        <v>255</v>
      </c>
      <c r="R38" s="67" t="s">
        <v>256</v>
      </c>
      <c r="S38" s="67" t="s">
        <v>257</v>
      </c>
    </row>
    <row r="39" customFormat="false" ht="36" hidden="false" customHeight="true" outlineLevel="0" collapsed="false">
      <c r="A39" s="23" t="n">
        <v>34</v>
      </c>
      <c r="B39" s="60" t="s">
        <v>240</v>
      </c>
      <c r="C39" s="23" t="s">
        <v>258</v>
      </c>
      <c r="D39" s="61" t="s">
        <v>259</v>
      </c>
      <c r="E39" s="62" t="s">
        <v>260</v>
      </c>
      <c r="F39" s="23" t="s">
        <v>64</v>
      </c>
      <c r="G39" s="26" t="e">
        <f aca="false">ROUND(10*$H$3,0)</f>
        <v>#VALUE!</v>
      </c>
      <c r="H39" s="25" t="e">
        <f aca="false">$C$3+G39</f>
        <v>#VALUE!</v>
      </c>
      <c r="I39" s="52"/>
      <c r="J39" s="53" t="n">
        <f aca="false">IF(I39="Complete",1,IF(I39="Skipped",1,IF(I39="Blocked",0.5,IF(I39="In Progress",0.25,0))))</f>
        <v>0</v>
      </c>
      <c r="K39" s="54"/>
      <c r="L39" s="55"/>
      <c r="M39" s="56"/>
      <c r="N39" s="57" t="str">
        <f aca="false">IF(M39="","",M39-H39)</f>
        <v/>
      </c>
      <c r="O39" s="58" t="str">
        <f aca="false">IF(M39="","",ABS(M39-H39)*24)</f>
        <v/>
      </c>
      <c r="P39" s="23"/>
      <c r="Q39" s="63" t="s">
        <v>261</v>
      </c>
      <c r="R39" s="63" t="s">
        <v>262</v>
      </c>
      <c r="S39" s="63"/>
    </row>
    <row r="40" customFormat="false" ht="36" hidden="false" customHeight="true" outlineLevel="0" collapsed="false">
      <c r="A40" s="46" t="n">
        <v>35</v>
      </c>
      <c r="B40" s="47" t="s">
        <v>263</v>
      </c>
      <c r="C40" s="46" t="s">
        <v>264</v>
      </c>
      <c r="D40" s="48" t="s">
        <v>265</v>
      </c>
      <c r="E40" s="49" t="s">
        <v>266</v>
      </c>
      <c r="F40" s="46" t="s">
        <v>64</v>
      </c>
      <c r="G40" s="50" t="e">
        <f aca="false">ROUND(10*$H$3,0)</f>
        <v>#VALUE!</v>
      </c>
      <c r="H40" s="51" t="e">
        <f aca="false">$C$3+G40</f>
        <v>#VALUE!</v>
      </c>
      <c r="I40" s="52"/>
      <c r="J40" s="53" t="n">
        <f aca="false">IF(I40="Complete",1,IF(I40="Skipped",1,IF(I40="Blocked",0.5,IF(I40="In Progress",0.25,0))))</f>
        <v>0</v>
      </c>
      <c r="K40" s="54"/>
      <c r="L40" s="55"/>
      <c r="M40" s="56"/>
      <c r="N40" s="57" t="str">
        <f aca="false">IF(M40="","",M40-H40)</f>
        <v/>
      </c>
      <c r="O40" s="58" t="str">
        <f aca="false">IF(M40="","",ABS(M40-H40)*24)</f>
        <v/>
      </c>
      <c r="P40" s="46"/>
      <c r="Q40" s="59" t="s">
        <v>267</v>
      </c>
      <c r="R40" s="59" t="s">
        <v>268</v>
      </c>
      <c r="S40" s="59" t="s">
        <v>269</v>
      </c>
    </row>
    <row r="41" customFormat="false" ht="36" hidden="false" customHeight="true" outlineLevel="0" collapsed="false">
      <c r="A41" s="46" t="n">
        <v>36</v>
      </c>
      <c r="B41" s="47" t="s">
        <v>270</v>
      </c>
      <c r="C41" s="46" t="s">
        <v>271</v>
      </c>
      <c r="D41" s="48" t="s">
        <v>272</v>
      </c>
      <c r="E41" s="49" t="s">
        <v>273</v>
      </c>
      <c r="F41" s="46" t="s">
        <v>214</v>
      </c>
      <c r="G41" s="50" t="e">
        <f aca="false">ROUND(11*$H$3,0)</f>
        <v>#VALUE!</v>
      </c>
      <c r="H41" s="51" t="e">
        <f aca="false">$C$3+G41</f>
        <v>#VALUE!</v>
      </c>
      <c r="I41" s="52"/>
      <c r="J41" s="53" t="n">
        <f aca="false">IF(I41="Complete",1,IF(I41="Skipped",1,IF(I41="Blocked",0.5,IF(I41="In Progress",0.25,0))))</f>
        <v>0</v>
      </c>
      <c r="K41" s="54"/>
      <c r="L41" s="55"/>
      <c r="M41" s="56"/>
      <c r="N41" s="57" t="str">
        <f aca="false">IF(M41="","",M41-H41)</f>
        <v/>
      </c>
      <c r="O41" s="58" t="str">
        <f aca="false">IF(M41="","",ABS(M41-H41)*24)</f>
        <v/>
      </c>
      <c r="P41" s="46"/>
      <c r="Q41" s="59" t="s">
        <v>274</v>
      </c>
      <c r="R41" s="59" t="s">
        <v>275</v>
      </c>
      <c r="S41" s="59" t="s">
        <v>276</v>
      </c>
    </row>
    <row r="42" customFormat="false" ht="36" hidden="false" customHeight="true" outlineLevel="0" collapsed="false">
      <c r="A42" s="11" t="n">
        <v>37</v>
      </c>
      <c r="B42" s="64" t="s">
        <v>270</v>
      </c>
      <c r="C42" s="11" t="s">
        <v>277</v>
      </c>
      <c r="D42" s="65" t="s">
        <v>278</v>
      </c>
      <c r="E42" s="66" t="s">
        <v>279</v>
      </c>
      <c r="F42" s="11" t="s">
        <v>64</v>
      </c>
      <c r="G42" s="17" t="e">
        <f aca="false">ROUND(11*$H$3,0)</f>
        <v>#VALUE!</v>
      </c>
      <c r="H42" s="16" t="e">
        <f aca="false">$C$3+G42</f>
        <v>#VALUE!</v>
      </c>
      <c r="I42" s="52"/>
      <c r="J42" s="53" t="n">
        <f aca="false">IF(I42="Complete",1,IF(I42="Skipped",1,IF(I42="Blocked",0.5,IF(I42="In Progress",0.25,0))))</f>
        <v>0</v>
      </c>
      <c r="K42" s="54"/>
      <c r="L42" s="55"/>
      <c r="M42" s="56"/>
      <c r="N42" s="57" t="str">
        <f aca="false">IF(M42="","",M42-H42)</f>
        <v/>
      </c>
      <c r="O42" s="58" t="str">
        <f aca="false">IF(M42="","",ABS(M42-H42)*24)</f>
        <v/>
      </c>
      <c r="P42" s="11"/>
      <c r="Q42" s="67" t="s">
        <v>280</v>
      </c>
      <c r="R42" s="67" t="s">
        <v>281</v>
      </c>
      <c r="S42" s="67" t="s">
        <v>282</v>
      </c>
    </row>
    <row r="43" customFormat="false" ht="36" hidden="false" customHeight="true" outlineLevel="0" collapsed="false">
      <c r="A43" s="23" t="n">
        <v>38</v>
      </c>
      <c r="B43" s="60" t="s">
        <v>270</v>
      </c>
      <c r="C43" s="23" t="s">
        <v>283</v>
      </c>
      <c r="D43" s="61" t="s">
        <v>284</v>
      </c>
      <c r="E43" s="62" t="s">
        <v>285</v>
      </c>
      <c r="F43" s="23" t="s">
        <v>114</v>
      </c>
      <c r="G43" s="26" t="e">
        <f aca="false">ROUND(11*$H$3,0)</f>
        <v>#VALUE!</v>
      </c>
      <c r="H43" s="25" t="e">
        <f aca="false">$C$3+G43</f>
        <v>#VALUE!</v>
      </c>
      <c r="I43" s="52"/>
      <c r="J43" s="53" t="n">
        <f aca="false">IF(I43="Complete",1,IF(I43="Skipped",1,IF(I43="Blocked",0.5,IF(I43="In Progress",0.25,0))))</f>
        <v>0</v>
      </c>
      <c r="K43" s="54"/>
      <c r="L43" s="55"/>
      <c r="M43" s="56"/>
      <c r="N43" s="57" t="str">
        <f aca="false">IF(M43="","",M43-H43)</f>
        <v/>
      </c>
      <c r="O43" s="58" t="str">
        <f aca="false">IF(M43="","",ABS(M43-H43)*24)</f>
        <v/>
      </c>
      <c r="P43" s="23"/>
      <c r="Q43" s="63" t="s">
        <v>286</v>
      </c>
      <c r="R43" s="63" t="s">
        <v>287</v>
      </c>
      <c r="S43" s="63"/>
    </row>
    <row r="44" customFormat="false" ht="36" hidden="false" customHeight="true" outlineLevel="0" collapsed="false">
      <c r="A44" s="46" t="n">
        <v>39</v>
      </c>
      <c r="B44" s="47" t="s">
        <v>288</v>
      </c>
      <c r="C44" s="46" t="s">
        <v>289</v>
      </c>
      <c r="D44" s="48" t="s">
        <v>290</v>
      </c>
      <c r="E44" s="49" t="s">
        <v>291</v>
      </c>
      <c r="F44" s="46" t="s">
        <v>64</v>
      </c>
      <c r="G44" s="50" t="e">
        <f aca="false">ROUND(12*$H$3,0)</f>
        <v>#VALUE!</v>
      </c>
      <c r="H44" s="51" t="e">
        <f aca="false">$C$3+G44</f>
        <v>#VALUE!</v>
      </c>
      <c r="I44" s="52"/>
      <c r="J44" s="53" t="n">
        <f aca="false">IF(I44="Complete",1,IF(I44="Skipped",1,IF(I44="Blocked",0.5,IF(I44="In Progress",0.25,0))))</f>
        <v>0</v>
      </c>
      <c r="K44" s="54"/>
      <c r="L44" s="55"/>
      <c r="M44" s="56"/>
      <c r="N44" s="57" t="str">
        <f aca="false">IF(M44="","",M44-H44)</f>
        <v/>
      </c>
      <c r="O44" s="58" t="str">
        <f aca="false">IF(M44="","",ABS(M44-H44)*24)</f>
        <v/>
      </c>
      <c r="P44" s="46"/>
      <c r="Q44" s="59" t="s">
        <v>292</v>
      </c>
      <c r="R44" s="59" t="s">
        <v>293</v>
      </c>
      <c r="S44" s="59" t="s">
        <v>294</v>
      </c>
    </row>
    <row r="45" customFormat="false" ht="36" hidden="false" customHeight="true" outlineLevel="0" collapsed="false">
      <c r="A45" s="23" t="n">
        <v>40</v>
      </c>
      <c r="B45" s="60" t="s">
        <v>288</v>
      </c>
      <c r="C45" s="23" t="s">
        <v>295</v>
      </c>
      <c r="D45" s="61" t="s">
        <v>296</v>
      </c>
      <c r="E45" s="62" t="s">
        <v>297</v>
      </c>
      <c r="F45" s="23" t="s">
        <v>64</v>
      </c>
      <c r="G45" s="26" t="e">
        <f aca="false">ROUND(12*$H$3,0)</f>
        <v>#VALUE!</v>
      </c>
      <c r="H45" s="25" t="e">
        <f aca="false">$C$3+G45</f>
        <v>#VALUE!</v>
      </c>
      <c r="I45" s="52"/>
      <c r="J45" s="53" t="n">
        <f aca="false">IF(I45="Complete",1,IF(I45="Skipped",1,IF(I45="Blocked",0.5,IF(I45="In Progress",0.25,0))))</f>
        <v>0</v>
      </c>
      <c r="K45" s="54"/>
      <c r="L45" s="55"/>
      <c r="M45" s="56"/>
      <c r="N45" s="57" t="str">
        <f aca="false">IF(M45="","",M45-H45)</f>
        <v/>
      </c>
      <c r="O45" s="58" t="str">
        <f aca="false">IF(M45="","",ABS(M45-H45)*24)</f>
        <v/>
      </c>
      <c r="P45" s="23"/>
      <c r="Q45" s="63" t="s">
        <v>298</v>
      </c>
      <c r="R45" s="63" t="s">
        <v>299</v>
      </c>
      <c r="S45" s="63" t="s">
        <v>300</v>
      </c>
    </row>
    <row r="46" customFormat="false" ht="36" hidden="false" customHeight="true" outlineLevel="0" collapsed="false">
      <c r="A46" s="11" t="n">
        <v>41</v>
      </c>
      <c r="B46" s="64" t="s">
        <v>288</v>
      </c>
      <c r="C46" s="11" t="s">
        <v>301</v>
      </c>
      <c r="D46" s="65" t="s">
        <v>302</v>
      </c>
      <c r="E46" s="66" t="s">
        <v>303</v>
      </c>
      <c r="F46" s="11" t="s">
        <v>114</v>
      </c>
      <c r="G46" s="17" t="e">
        <f aca="false">ROUND(12*$H$3,0)</f>
        <v>#VALUE!</v>
      </c>
      <c r="H46" s="16" t="e">
        <f aca="false">$C$3+G46</f>
        <v>#VALUE!</v>
      </c>
      <c r="I46" s="52"/>
      <c r="J46" s="53" t="n">
        <f aca="false">IF(I46="Complete",1,IF(I46="Skipped",1,IF(I46="Blocked",0.5,IF(I46="In Progress",0.25,0))))</f>
        <v>0</v>
      </c>
      <c r="K46" s="54"/>
      <c r="L46" s="55"/>
      <c r="M46" s="56"/>
      <c r="N46" s="57" t="str">
        <f aca="false">IF(M46="","",M46-H46)</f>
        <v/>
      </c>
      <c r="O46" s="58" t="str">
        <f aca="false">IF(M46="","",ABS(M46-H46)*24)</f>
        <v/>
      </c>
      <c r="P46" s="11"/>
      <c r="Q46" s="67" t="s">
        <v>304</v>
      </c>
      <c r="R46" s="67" t="s">
        <v>305</v>
      </c>
      <c r="S46" s="67" t="s">
        <v>306</v>
      </c>
    </row>
    <row r="47" customFormat="false" ht="36" hidden="false" customHeight="true" outlineLevel="0" collapsed="false">
      <c r="A47" s="23" t="n">
        <v>42</v>
      </c>
      <c r="B47" s="60" t="s">
        <v>288</v>
      </c>
      <c r="C47" s="23" t="s">
        <v>307</v>
      </c>
      <c r="D47" s="61" t="s">
        <v>308</v>
      </c>
      <c r="E47" s="62" t="s">
        <v>309</v>
      </c>
      <c r="F47" s="23" t="s">
        <v>64</v>
      </c>
      <c r="G47" s="26" t="e">
        <f aca="false">ROUND(13*$H$3,0)</f>
        <v>#VALUE!</v>
      </c>
      <c r="H47" s="25" t="e">
        <f aca="false">$C$3+G47</f>
        <v>#VALUE!</v>
      </c>
      <c r="I47" s="52"/>
      <c r="J47" s="53" t="n">
        <f aca="false">IF(I47="Complete",1,IF(I47="Skipped",1,IF(I47="Blocked",0.5,IF(I47="In Progress",0.25,0))))</f>
        <v>0</v>
      </c>
      <c r="K47" s="54"/>
      <c r="L47" s="55"/>
      <c r="M47" s="56"/>
      <c r="N47" s="57" t="str">
        <f aca="false">IF(M47="","",M47-H47)</f>
        <v/>
      </c>
      <c r="O47" s="58" t="str">
        <f aca="false">IF(M47="","",ABS(M47-H47)*24)</f>
        <v/>
      </c>
      <c r="P47" s="23"/>
      <c r="Q47" s="63" t="s">
        <v>310</v>
      </c>
      <c r="R47" s="63" t="s">
        <v>311</v>
      </c>
      <c r="S47" s="63" t="s">
        <v>312</v>
      </c>
    </row>
    <row r="48" customFormat="false" ht="36" hidden="false" customHeight="true" outlineLevel="0" collapsed="false">
      <c r="A48" s="11" t="n">
        <v>43</v>
      </c>
      <c r="B48" s="64" t="s">
        <v>288</v>
      </c>
      <c r="C48" s="11" t="s">
        <v>313</v>
      </c>
      <c r="D48" s="65" t="s">
        <v>314</v>
      </c>
      <c r="E48" s="66" t="s">
        <v>315</v>
      </c>
      <c r="F48" s="11" t="s">
        <v>214</v>
      </c>
      <c r="G48" s="17" t="e">
        <f aca="false">ROUND(13*$H$3,0)</f>
        <v>#VALUE!</v>
      </c>
      <c r="H48" s="16" t="e">
        <f aca="false">$C$3+G48</f>
        <v>#VALUE!</v>
      </c>
      <c r="I48" s="52"/>
      <c r="J48" s="53" t="n">
        <f aca="false">IF(I48="Complete",1,IF(I48="Skipped",1,IF(I48="Blocked",0.5,IF(I48="In Progress",0.25,0))))</f>
        <v>0</v>
      </c>
      <c r="K48" s="54"/>
      <c r="L48" s="55"/>
      <c r="M48" s="56"/>
      <c r="N48" s="57" t="str">
        <f aca="false">IF(M48="","",M48-H48)</f>
        <v/>
      </c>
      <c r="O48" s="58" t="str">
        <f aca="false">IF(M48="","",ABS(M48-H48)*24)</f>
        <v/>
      </c>
      <c r="P48" s="11"/>
      <c r="Q48" s="67" t="s">
        <v>316</v>
      </c>
      <c r="R48" s="67" t="s">
        <v>317</v>
      </c>
      <c r="S48" s="67" t="s">
        <v>318</v>
      </c>
    </row>
    <row r="49" customFormat="false" ht="36" hidden="false" customHeight="true" outlineLevel="0" collapsed="false">
      <c r="A49" s="23" t="n">
        <v>44</v>
      </c>
      <c r="B49" s="60" t="s">
        <v>288</v>
      </c>
      <c r="C49" s="23" t="s">
        <v>319</v>
      </c>
      <c r="D49" s="61" t="s">
        <v>320</v>
      </c>
      <c r="E49" s="62" t="s">
        <v>321</v>
      </c>
      <c r="F49" s="23" t="s">
        <v>64</v>
      </c>
      <c r="G49" s="26" t="e">
        <f aca="false">ROUND(14*$H$3,0)</f>
        <v>#VALUE!</v>
      </c>
      <c r="H49" s="25" t="e">
        <f aca="false">$C$3+G49</f>
        <v>#VALUE!</v>
      </c>
      <c r="I49" s="52"/>
      <c r="J49" s="53" t="n">
        <f aca="false">IF(I49="Complete",1,IF(I49="Skipped",1,IF(I49="Blocked",0.5,IF(I49="In Progress",0.25,0))))</f>
        <v>0</v>
      </c>
      <c r="K49" s="54"/>
      <c r="L49" s="55"/>
      <c r="M49" s="56"/>
      <c r="N49" s="57" t="str">
        <f aca="false">IF(M49="","",M49-H49)</f>
        <v/>
      </c>
      <c r="O49" s="58" t="str">
        <f aca="false">IF(M49="","",ABS(M49-H49)*24)</f>
        <v/>
      </c>
      <c r="P49" s="23"/>
      <c r="Q49" s="63" t="s">
        <v>322</v>
      </c>
      <c r="R49" s="63" t="s">
        <v>323</v>
      </c>
      <c r="S49" s="63" t="s">
        <v>324</v>
      </c>
    </row>
    <row r="50" customFormat="false" ht="36" hidden="false" customHeight="true" outlineLevel="0" collapsed="false">
      <c r="A50" s="11" t="n">
        <v>45</v>
      </c>
      <c r="B50" s="64" t="s">
        <v>288</v>
      </c>
      <c r="C50" s="11" t="s">
        <v>325</v>
      </c>
      <c r="D50" s="65" t="s">
        <v>326</v>
      </c>
      <c r="E50" s="66" t="s">
        <v>327</v>
      </c>
      <c r="F50" s="11" t="s">
        <v>64</v>
      </c>
      <c r="G50" s="17" t="e">
        <f aca="false">ROUND(14*$H$3,0)</f>
        <v>#VALUE!</v>
      </c>
      <c r="H50" s="16" t="e">
        <f aca="false">$C$3+G50</f>
        <v>#VALUE!</v>
      </c>
      <c r="I50" s="52"/>
      <c r="J50" s="53" t="n">
        <f aca="false">IF(I50="Complete",1,IF(I50="Skipped",1,IF(I50="Blocked",0.5,IF(I50="In Progress",0.25,0))))</f>
        <v>0</v>
      </c>
      <c r="K50" s="54"/>
      <c r="L50" s="55"/>
      <c r="M50" s="56"/>
      <c r="N50" s="57" t="str">
        <f aca="false">IF(M50="","",M50-H50)</f>
        <v/>
      </c>
      <c r="O50" s="58" t="str">
        <f aca="false">IF(M50="","",ABS(M50-H50)*24)</f>
        <v/>
      </c>
      <c r="P50" s="11"/>
      <c r="Q50" s="67" t="s">
        <v>328</v>
      </c>
      <c r="R50" s="67" t="s">
        <v>66</v>
      </c>
      <c r="S50" s="67" t="s">
        <v>329</v>
      </c>
    </row>
    <row r="51" customFormat="false" ht="36" hidden="false" customHeight="true" outlineLevel="0" collapsed="false">
      <c r="A51" s="23" t="n">
        <v>46</v>
      </c>
      <c r="B51" s="60" t="s">
        <v>288</v>
      </c>
      <c r="C51" s="23" t="s">
        <v>330</v>
      </c>
      <c r="D51" s="61" t="s">
        <v>331</v>
      </c>
      <c r="E51" s="62" t="s">
        <v>332</v>
      </c>
      <c r="F51" s="23" t="s">
        <v>114</v>
      </c>
      <c r="G51" s="26" t="e">
        <f aca="false">ROUND(14*$H$3,0)</f>
        <v>#VALUE!</v>
      </c>
      <c r="H51" s="25" t="e">
        <f aca="false">$C$3+G51</f>
        <v>#VALUE!</v>
      </c>
      <c r="I51" s="52"/>
      <c r="J51" s="53" t="n">
        <f aca="false">IF(I51="Complete",1,IF(I51="Skipped",1,IF(I51="Blocked",0.5,IF(I51="In Progress",0.25,0))))</f>
        <v>0</v>
      </c>
      <c r="K51" s="54"/>
      <c r="L51" s="55"/>
      <c r="M51" s="56"/>
      <c r="N51" s="57" t="str">
        <f aca="false">IF(M51="","",M51-H51)</f>
        <v/>
      </c>
      <c r="O51" s="58" t="str">
        <f aca="false">IF(M51="","",ABS(M51-H51)*24)</f>
        <v/>
      </c>
      <c r="P51" s="23"/>
      <c r="Q51" s="63" t="s">
        <v>333</v>
      </c>
      <c r="R51" s="63" t="s">
        <v>116</v>
      </c>
      <c r="S51" s="63" t="s">
        <v>334</v>
      </c>
    </row>
    <row r="53" customFormat="false" ht="15" hidden="false" customHeight="true" outlineLevel="0" collapsed="false">
      <c r="A53" s="9" t="s">
        <v>335</v>
      </c>
      <c r="B53" s="9"/>
      <c r="C53" s="9"/>
      <c r="D53" s="9"/>
      <c r="E53" s="9"/>
      <c r="F53" s="9"/>
      <c r="G53" s="31"/>
      <c r="H53" s="31"/>
      <c r="I53" s="68" t="s">
        <v>336</v>
      </c>
      <c r="J53" s="69" t="n">
        <f aca="false">AVERAGE(J6:J51)</f>
        <v>0</v>
      </c>
      <c r="K53" s="31"/>
      <c r="L53" s="68" t="s">
        <v>337</v>
      </c>
      <c r="M53" s="9" t="n">
        <f aca="false">SUMPRODUCT((M6:M51&lt;&gt;"")*1)</f>
        <v>0</v>
      </c>
      <c r="N53" s="31"/>
      <c r="O53" s="33" t="n">
        <f aca="false">SUM(O6:O51)</f>
        <v>0</v>
      </c>
      <c r="P53" s="31"/>
      <c r="Q53" s="31"/>
      <c r="R53" s="31"/>
      <c r="S53" s="31"/>
    </row>
    <row r="54" customFormat="false" ht="15" hidden="false" customHeight="false" outlineLevel="0" collapsed="false">
      <c r="M54" s="70" t="s">
        <v>338</v>
      </c>
      <c r="N54" s="71" t="str">
        <f aca="false">IFERROR(AVERAGE(N6:N51),"")</f>
        <v/>
      </c>
    </row>
    <row r="55" customFormat="false" ht="15" hidden="false" customHeight="false" outlineLevel="0" collapsed="false">
      <c r="M55" s="70" t="s">
        <v>339</v>
      </c>
      <c r="N55" s="72" t="n">
        <f aca="false">IFERROR(MAX(N6:N51),"")</f>
        <v>0</v>
      </c>
    </row>
  </sheetData>
  <autoFilter ref="A5:S5"/>
  <mergeCells count="5">
    <mergeCell ref="A1:S1"/>
    <mergeCell ref="A3:B3"/>
    <mergeCell ref="E3:F3"/>
    <mergeCell ref="I3:J3"/>
    <mergeCell ref="A53:F53"/>
  </mergeCells>
  <conditionalFormatting sqref="I6:I51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0">
      <formula>"Skipped"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2">
      <formula>"In Progress"</formula>
    </cfRule>
  </conditionalFormatting>
  <conditionalFormatting sqref="J6:J51">
    <cfRule type="expression" priority="6" aboveAverage="0" equalAverage="0" bottom="0" percent="0" rank="0" text="" dxfId="14">
      <formula>$J6=1</formula>
    </cfRule>
    <cfRule type="expression" priority="7" aboveAverage="0" equalAverage="0" bottom="0" percent="0" rank="0" text="" dxfId="15">
      <formula>$J6&gt;=0.5</formula>
    </cfRule>
    <cfRule type="expression" priority="8" aboveAverage="0" equalAverage="0" bottom="0" percent="0" rank="0" text="" dxfId="16">
      <formula>$J6&gt;=0.25</formula>
    </cfRule>
  </conditionalFormatting>
  <conditionalFormatting sqref="K6:K51">
    <cfRule type="expression" priority="9" aboveAverage="0" equalAverage="0" bottom="0" percent="0" rank="0" text="" dxfId="17">
      <formula>AND($I6="Complete",$K6="")</formula>
    </cfRule>
    <cfRule type="expression" priority="10" aboveAverage="0" equalAverage="0" bottom="0" percent="0" rank="0" text="" dxfId="14">
      <formula>AND(OR($I6="Complete",$I6="Skipped"),$K6&lt;&gt;"")</formula>
    </cfRule>
  </conditionalFormatting>
  <conditionalFormatting sqref="L6:L51">
    <cfRule type="expression" priority="11" aboveAverage="0" equalAverage="0" bottom="0" percent="0" rank="0" text="" dxfId="17">
      <formula>AND($I6="Complete",$L6="")</formula>
    </cfRule>
    <cfRule type="expression" priority="12" aboveAverage="0" equalAverage="0" bottom="0" percent="0" rank="0" text="" dxfId="18">
      <formula>AND($I6="In Progress",$L6="")</formula>
    </cfRule>
  </conditionalFormatting>
  <conditionalFormatting sqref="M6:M51">
    <cfRule type="expression" priority="13" aboveAverage="0" equalAverage="0" bottom="0" percent="0" rank="0" text="" dxfId="17">
      <formula>AND($I6="Complete",$M6="")</formula>
    </cfRule>
    <cfRule type="expression" priority="14" aboveAverage="0" equalAverage="0" bottom="0" percent="0" rank="0" text="" dxfId="14">
      <formula>AND($I6="Complete",$M6&lt;&gt;"")</formula>
    </cfRule>
  </conditionalFormatting>
  <conditionalFormatting sqref="A6:S51">
    <cfRule type="expression" priority="15" aboveAverage="0" equalAverage="0" bottom="0" percent="0" rank="0" text="" dxfId="19">
      <formula>AND($M6&lt;&gt;"",$N6&gt;=5)</formula>
    </cfRule>
    <cfRule type="expression" priority="16" aboveAverage="0" equalAverage="0" bottom="0" percent="0" rank="0" text="" dxfId="19">
      <formula>AND($M6&lt;&gt;"",$N6&gt;=4)</formula>
    </cfRule>
    <cfRule type="expression" priority="17" aboveAverage="0" equalAverage="0" bottom="0" percent="0" rank="0" text="" dxfId="20">
      <formula>AND($M6&lt;&gt;"",$N6&gt;=3)</formula>
    </cfRule>
    <cfRule type="expression" priority="18" aboveAverage="0" equalAverage="0" bottom="0" percent="0" rank="0" text="" dxfId="20">
      <formula>AND($M6&lt;&gt;"",$N6&gt;=2)</formula>
    </cfRule>
    <cfRule type="expression" priority="19" aboveAverage="0" equalAverage="0" bottom="0" percent="0" rank="0" text="" dxfId="21">
      <formula>AND($M6&lt;&gt;"",$N6&gt;=1)</formula>
    </cfRule>
    <cfRule type="expression" priority="20" aboveAverage="0" equalAverage="0" bottom="0" percent="0" rank="0" text="" dxfId="22">
      <formula>AND($M6&lt;&gt;"",$N6&lt;=0)</formula>
    </cfRule>
  </conditionalFormatting>
  <conditionalFormatting sqref="N6:N51">
    <cfRule type="expression" priority="21" aboveAverage="0" equalAverage="0" bottom="0" percent="0" rank="0" text="" dxfId="23">
      <formula>AND($M6&lt;&gt;"",$N6&gt;=5)</formula>
    </cfRule>
    <cfRule type="expression" priority="22" aboveAverage="0" equalAverage="0" bottom="0" percent="0" rank="0" text="" dxfId="24">
      <formula>AND($M6&lt;&gt;"",$N6&gt;=3)</formula>
    </cfRule>
    <cfRule type="expression" priority="23" aboveAverage="0" equalAverage="0" bottom="0" percent="0" rank="0" text="" dxfId="25">
      <formula>AND($M6&lt;&gt;"",$N6&gt;=1)</formula>
    </cfRule>
    <cfRule type="expression" priority="24" aboveAverage="0" equalAverage="0" bottom="0" percent="0" rank="0" text="" dxfId="26">
      <formula>AND($M6&lt;&gt;"",$N6&lt;=0)</formula>
    </cfRule>
  </conditionalFormatting>
  <dataValidations count="3">
    <dataValidation allowBlank="true" errorStyle="stop" operator="between" prompt="Complete needs: sign-off name + report link + completed date" promptTitle="Status" showDropDown="false" showErrorMessage="false" showInputMessage="true" sqref="I6:I51" type="list">
      <formula1>"Not Started,In Progress,Blocked,Complete,Skipped"</formula1>
      <formula2>0</formula2>
    </dataValidation>
    <dataValidation allowBlank="true" errorStyle="stop" operator="between" prompt="Select team member" promptTitle="Sign Off" showDropDown="false" showErrorMessage="false" showInputMessage="true" sqref="K6:K51" type="list">
      <formula1>TeamMembers</formula1>
      <formula2>0</formula2>
    </dataValidation>
    <dataValidation allowBlank="true" error="Enter a valid date (YYYY-MM-DD)" errorStyle="stop" errorTitle="Invalid Date" operator="greaterThan" prompt="Type the completion date (YYYY-MM-DD)" promptTitle="Completed Date" showDropDown="false" showErrorMessage="true" showInputMessage="true" sqref="M6:M51" type="date">
      <formula1>2020-1-1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E"/>
    <pageSetUpPr fitToPage="tru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4" min="14" style="0" width="7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46"/>
    <col collapsed="false" customWidth="true" hidden="false" outlineLevel="0" max="19" min="18" style="0" width="38"/>
  </cols>
  <sheetData>
    <row r="1" customFormat="false" ht="17.35" hidden="false" customHeight="false" outlineLevel="0" collapsed="false">
      <c r="A1" s="1" t="str">
        <f aca="false">IF(Config!B18&lt;&gt;"",Config!B18&amp;" — DNS, Certificate &amp; SSO Migration Runbook","Project 13 — Assign name on Config sheet")</f>
        <v>Project 13 — Assign name on Config sheet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27.75" hidden="false" customHeight="true" outlineLevel="0" collapsed="false">
      <c r="A3" s="35" t="s">
        <v>40</v>
      </c>
      <c r="B3" s="35"/>
      <c r="C3" s="36" t="n">
        <f aca="false">Config!C18</f>
        <v>0</v>
      </c>
      <c r="D3" s="35" t="s">
        <v>41</v>
      </c>
      <c r="E3" s="37" t="n">
        <f aca="false">Config!D18</f>
        <v>0</v>
      </c>
      <c r="F3" s="37"/>
      <c r="G3" s="35" t="s">
        <v>42</v>
      </c>
      <c r="H3" s="38" t="str">
        <f aca="false">Config!E18</f>
        <v/>
      </c>
      <c r="I3" s="35" t="s">
        <v>43</v>
      </c>
      <c r="J3" s="35"/>
      <c r="K3" s="36" t="str">
        <f aca="false">Config!F18</f>
        <v/>
      </c>
      <c r="L3" s="35" t="s">
        <v>44</v>
      </c>
      <c r="M3" s="39" t="str">
        <f aca="false">Config!G18</f>
        <v/>
      </c>
      <c r="N3" s="40"/>
      <c r="O3" s="40"/>
      <c r="P3" s="40"/>
      <c r="Q3" s="40"/>
      <c r="R3" s="40"/>
      <c r="S3" s="40"/>
    </row>
    <row r="5" customFormat="false" ht="35.05" hidden="false" customHeight="false" outlineLevel="0" collapsed="false">
      <c r="A5" s="9" t="s">
        <v>10</v>
      </c>
      <c r="B5" s="9" t="s">
        <v>45</v>
      </c>
      <c r="C5" s="9" t="s">
        <v>46</v>
      </c>
      <c r="D5" s="9" t="s">
        <v>47</v>
      </c>
      <c r="E5" s="9" t="s">
        <v>48</v>
      </c>
      <c r="F5" s="9" t="s">
        <v>49</v>
      </c>
      <c r="G5" s="9" t="s">
        <v>50</v>
      </c>
      <c r="H5" s="9" t="s">
        <v>51</v>
      </c>
      <c r="I5" s="41" t="s">
        <v>20</v>
      </c>
      <c r="J5" s="42" t="s">
        <v>17</v>
      </c>
      <c r="K5" s="43" t="s">
        <v>52</v>
      </c>
      <c r="L5" s="44" t="s">
        <v>53</v>
      </c>
      <c r="M5" s="45" t="s">
        <v>18</v>
      </c>
      <c r="N5" s="9" t="s">
        <v>54</v>
      </c>
      <c r="O5" s="9" t="s">
        <v>55</v>
      </c>
      <c r="P5" s="9" t="s">
        <v>56</v>
      </c>
      <c r="Q5" s="9" t="s">
        <v>57</v>
      </c>
      <c r="R5" s="9" t="s">
        <v>58</v>
      </c>
      <c r="S5" s="9" t="s">
        <v>59</v>
      </c>
    </row>
    <row r="6" customFormat="false" ht="36" hidden="false" customHeight="true" outlineLevel="0" collapsed="false">
      <c r="A6" s="46" t="n">
        <v>1</v>
      </c>
      <c r="B6" s="47" t="s">
        <v>60</v>
      </c>
      <c r="C6" s="46" t="s">
        <v>61</v>
      </c>
      <c r="D6" s="48" t="s">
        <v>62</v>
      </c>
      <c r="E6" s="49" t="s">
        <v>63</v>
      </c>
      <c r="F6" s="46" t="s">
        <v>64</v>
      </c>
      <c r="G6" s="50" t="e">
        <f aca="false">ROUND(0*$H$3,0)</f>
        <v>#VALUE!</v>
      </c>
      <c r="H6" s="51" t="e">
        <f aca="false">$C$3+G6</f>
        <v>#VALUE!</v>
      </c>
      <c r="I6" s="52"/>
      <c r="J6" s="53" t="n">
        <f aca="false">IF(I6="Complete",1,IF(I6="Skipped",1,IF(I6="Blocked",0.5,IF(I6="In Progress",0.25,0))))</f>
        <v>0</v>
      </c>
      <c r="K6" s="54"/>
      <c r="L6" s="55"/>
      <c r="M6" s="56"/>
      <c r="N6" s="57" t="str">
        <f aca="false">IF(M6="","",M6-H6)</f>
        <v/>
      </c>
      <c r="O6" s="58" t="str">
        <f aca="false">IF(M6="","",ABS(M6-H6)*24)</f>
        <v/>
      </c>
      <c r="P6" s="46"/>
      <c r="Q6" s="59" t="s">
        <v>65</v>
      </c>
      <c r="R6" s="59" t="s">
        <v>66</v>
      </c>
      <c r="S6" s="59" t="s">
        <v>67</v>
      </c>
    </row>
    <row r="7" customFormat="false" ht="36" hidden="false" customHeight="true" outlineLevel="0" collapsed="false">
      <c r="A7" s="23" t="n">
        <v>2</v>
      </c>
      <c r="B7" s="60" t="s">
        <v>60</v>
      </c>
      <c r="C7" s="23" t="s">
        <v>68</v>
      </c>
      <c r="D7" s="61" t="s">
        <v>69</v>
      </c>
      <c r="E7" s="62" t="s">
        <v>70</v>
      </c>
      <c r="F7" s="23" t="s">
        <v>64</v>
      </c>
      <c r="G7" s="26" t="e">
        <f aca="false">ROUND(0*$H$3,0)</f>
        <v>#VALUE!</v>
      </c>
      <c r="H7" s="25" t="e">
        <f aca="false">$C$3+G7</f>
        <v>#VALUE!</v>
      </c>
      <c r="I7" s="52"/>
      <c r="J7" s="53" t="n">
        <f aca="false">IF(I7="Complete",1,IF(I7="Skipped",1,IF(I7="Blocked",0.5,IF(I7="In Progress",0.25,0))))</f>
        <v>0</v>
      </c>
      <c r="K7" s="54"/>
      <c r="L7" s="55"/>
      <c r="M7" s="56"/>
      <c r="N7" s="57" t="str">
        <f aca="false">IF(M7="","",M7-H7)</f>
        <v/>
      </c>
      <c r="O7" s="58" t="str">
        <f aca="false">IF(M7="","",ABS(M7-H7)*24)</f>
        <v/>
      </c>
      <c r="P7" s="23"/>
      <c r="Q7" s="63" t="s">
        <v>71</v>
      </c>
      <c r="R7" s="63" t="s">
        <v>66</v>
      </c>
      <c r="S7" s="63" t="s">
        <v>72</v>
      </c>
    </row>
    <row r="8" customFormat="false" ht="36" hidden="false" customHeight="true" outlineLevel="0" collapsed="false">
      <c r="A8" s="11" t="n">
        <v>3</v>
      </c>
      <c r="B8" s="64" t="s">
        <v>60</v>
      </c>
      <c r="C8" s="11" t="s">
        <v>73</v>
      </c>
      <c r="D8" s="65" t="s">
        <v>74</v>
      </c>
      <c r="E8" s="66" t="s">
        <v>75</v>
      </c>
      <c r="F8" s="11" t="s">
        <v>64</v>
      </c>
      <c r="G8" s="17" t="e">
        <f aca="false">ROUND(0*$H$3,0)</f>
        <v>#VALUE!</v>
      </c>
      <c r="H8" s="16" t="e">
        <f aca="false">$C$3+G8</f>
        <v>#VALUE!</v>
      </c>
      <c r="I8" s="52"/>
      <c r="J8" s="53" t="n">
        <f aca="false">IF(I8="Complete",1,IF(I8="Skipped",1,IF(I8="Blocked",0.5,IF(I8="In Progress",0.25,0))))</f>
        <v>0</v>
      </c>
      <c r="K8" s="54"/>
      <c r="L8" s="55"/>
      <c r="M8" s="56"/>
      <c r="N8" s="57" t="str">
        <f aca="false">IF(M8="","",M8-H8)</f>
        <v/>
      </c>
      <c r="O8" s="58" t="str">
        <f aca="false">IF(M8="","",ABS(M8-H8)*24)</f>
        <v/>
      </c>
      <c r="P8" s="11"/>
      <c r="Q8" s="67" t="s">
        <v>76</v>
      </c>
      <c r="R8" s="67" t="s">
        <v>66</v>
      </c>
      <c r="S8" s="67" t="s">
        <v>77</v>
      </c>
    </row>
    <row r="9" customFormat="false" ht="36" hidden="false" customHeight="true" outlineLevel="0" collapsed="false">
      <c r="A9" s="23" t="n">
        <v>4</v>
      </c>
      <c r="B9" s="60" t="s">
        <v>60</v>
      </c>
      <c r="C9" s="23" t="s">
        <v>78</v>
      </c>
      <c r="D9" s="61" t="s">
        <v>79</v>
      </c>
      <c r="E9" s="62" t="s">
        <v>80</v>
      </c>
      <c r="F9" s="23" t="s">
        <v>64</v>
      </c>
      <c r="G9" s="26" t="e">
        <f aca="false">ROUND(1*$H$3,0)</f>
        <v>#VALUE!</v>
      </c>
      <c r="H9" s="25" t="e">
        <f aca="false">$C$3+G9</f>
        <v>#VALUE!</v>
      </c>
      <c r="I9" s="52"/>
      <c r="J9" s="53" t="n">
        <f aca="false">IF(I9="Complete",1,IF(I9="Skipped",1,IF(I9="Blocked",0.5,IF(I9="In Progress",0.25,0))))</f>
        <v>0</v>
      </c>
      <c r="K9" s="54"/>
      <c r="L9" s="55"/>
      <c r="M9" s="56"/>
      <c r="N9" s="57" t="str">
        <f aca="false">IF(M9="","",M9-H9)</f>
        <v/>
      </c>
      <c r="O9" s="58" t="str">
        <f aca="false">IF(M9="","",ABS(M9-H9)*24)</f>
        <v/>
      </c>
      <c r="P9" s="23"/>
      <c r="Q9" s="63" t="s">
        <v>81</v>
      </c>
      <c r="R9" s="63" t="s">
        <v>66</v>
      </c>
      <c r="S9" s="63" t="s">
        <v>82</v>
      </c>
    </row>
    <row r="10" customFormat="false" ht="36" hidden="false" customHeight="true" outlineLevel="0" collapsed="false">
      <c r="A10" s="11" t="n">
        <v>5</v>
      </c>
      <c r="B10" s="64" t="s">
        <v>60</v>
      </c>
      <c r="C10" s="11" t="s">
        <v>83</v>
      </c>
      <c r="D10" s="65" t="s">
        <v>84</v>
      </c>
      <c r="E10" s="66" t="s">
        <v>85</v>
      </c>
      <c r="F10" s="11" t="s">
        <v>64</v>
      </c>
      <c r="G10" s="17" t="e">
        <f aca="false">ROUND(1*$H$3,0)</f>
        <v>#VALUE!</v>
      </c>
      <c r="H10" s="16" t="e">
        <f aca="false">$C$3+G10</f>
        <v>#VALUE!</v>
      </c>
      <c r="I10" s="52"/>
      <c r="J10" s="53" t="n">
        <f aca="false">IF(I10="Complete",1,IF(I10="Skipped",1,IF(I10="Blocked",0.5,IF(I10="In Progress",0.25,0))))</f>
        <v>0</v>
      </c>
      <c r="K10" s="54"/>
      <c r="L10" s="55"/>
      <c r="M10" s="56"/>
      <c r="N10" s="57" t="str">
        <f aca="false">IF(M10="","",M10-H10)</f>
        <v/>
      </c>
      <c r="O10" s="58" t="str">
        <f aca="false">IF(M10="","",ABS(M10-H10)*24)</f>
        <v/>
      </c>
      <c r="P10" s="11"/>
      <c r="Q10" s="67" t="s">
        <v>86</v>
      </c>
      <c r="R10" s="67" t="s">
        <v>66</v>
      </c>
      <c r="S10" s="67" t="s">
        <v>87</v>
      </c>
    </row>
    <row r="11" customFormat="false" ht="36" hidden="false" customHeight="true" outlineLevel="0" collapsed="false">
      <c r="A11" s="23" t="n">
        <v>6</v>
      </c>
      <c r="B11" s="60" t="s">
        <v>60</v>
      </c>
      <c r="C11" s="23" t="s">
        <v>88</v>
      </c>
      <c r="D11" s="61" t="s">
        <v>89</v>
      </c>
      <c r="E11" s="62" t="s">
        <v>90</v>
      </c>
      <c r="F11" s="23" t="s">
        <v>64</v>
      </c>
      <c r="G11" s="26" t="e">
        <f aca="false">ROUND(1*$H$3,0)</f>
        <v>#VALUE!</v>
      </c>
      <c r="H11" s="25" t="e">
        <f aca="false">$C$3+G11</f>
        <v>#VALUE!</v>
      </c>
      <c r="I11" s="52"/>
      <c r="J11" s="53" t="n">
        <f aca="false">IF(I11="Complete",1,IF(I11="Skipped",1,IF(I11="Blocked",0.5,IF(I11="In Progress",0.25,0))))</f>
        <v>0</v>
      </c>
      <c r="K11" s="54"/>
      <c r="L11" s="55"/>
      <c r="M11" s="56"/>
      <c r="N11" s="57" t="str">
        <f aca="false">IF(M11="","",M11-H11)</f>
        <v/>
      </c>
      <c r="O11" s="58" t="str">
        <f aca="false">IF(M11="","",ABS(M11-H11)*24)</f>
        <v/>
      </c>
      <c r="P11" s="23"/>
      <c r="Q11" s="63" t="s">
        <v>91</v>
      </c>
      <c r="R11" s="63" t="s">
        <v>66</v>
      </c>
      <c r="S11" s="63" t="s">
        <v>92</v>
      </c>
    </row>
    <row r="12" customFormat="false" ht="36" hidden="false" customHeight="true" outlineLevel="0" collapsed="false">
      <c r="A12" s="11" t="n">
        <v>7</v>
      </c>
      <c r="B12" s="64" t="s">
        <v>60</v>
      </c>
      <c r="C12" s="11" t="s">
        <v>93</v>
      </c>
      <c r="D12" s="65" t="s">
        <v>94</v>
      </c>
      <c r="E12" s="66" t="s">
        <v>95</v>
      </c>
      <c r="F12" s="11" t="s">
        <v>96</v>
      </c>
      <c r="G12" s="17" t="e">
        <f aca="false">ROUND(1*$H$3,0)</f>
        <v>#VALUE!</v>
      </c>
      <c r="H12" s="16" t="e">
        <f aca="false">$C$3+G12</f>
        <v>#VALUE!</v>
      </c>
      <c r="I12" s="52"/>
      <c r="J12" s="53" t="n">
        <f aca="false">IF(I12="Complete",1,IF(I12="Skipped",1,IF(I12="Blocked",0.5,IF(I12="In Progress",0.25,0))))</f>
        <v>0</v>
      </c>
      <c r="K12" s="54"/>
      <c r="L12" s="55"/>
      <c r="M12" s="56"/>
      <c r="N12" s="57" t="str">
        <f aca="false">IF(M12="","",M12-H12)</f>
        <v/>
      </c>
      <c r="O12" s="58" t="str">
        <f aca="false">IF(M12="","",ABS(M12-H12)*24)</f>
        <v/>
      </c>
      <c r="P12" s="11"/>
      <c r="Q12" s="67" t="s">
        <v>97</v>
      </c>
      <c r="R12" s="67" t="s">
        <v>66</v>
      </c>
      <c r="S12" s="67" t="s">
        <v>98</v>
      </c>
    </row>
    <row r="13" customFormat="false" ht="36" hidden="false" customHeight="true" outlineLevel="0" collapsed="false">
      <c r="A13" s="23" t="n">
        <v>8</v>
      </c>
      <c r="B13" s="60" t="s">
        <v>60</v>
      </c>
      <c r="C13" s="23" t="s">
        <v>99</v>
      </c>
      <c r="D13" s="61" t="s">
        <v>100</v>
      </c>
      <c r="E13" s="62" t="s">
        <v>101</v>
      </c>
      <c r="F13" s="23" t="s">
        <v>64</v>
      </c>
      <c r="G13" s="26" t="e">
        <f aca="false">ROUND(1*$H$3,0)</f>
        <v>#VALUE!</v>
      </c>
      <c r="H13" s="25" t="e">
        <f aca="false">$C$3+G13</f>
        <v>#VALUE!</v>
      </c>
      <c r="I13" s="52"/>
      <c r="J13" s="53" t="n">
        <f aca="false">IF(I13="Complete",1,IF(I13="Skipped",1,IF(I13="Blocked",0.5,IF(I13="In Progress",0.25,0))))</f>
        <v>0</v>
      </c>
      <c r="K13" s="54"/>
      <c r="L13" s="55"/>
      <c r="M13" s="56"/>
      <c r="N13" s="57" t="str">
        <f aca="false">IF(M13="","",M13-H13)</f>
        <v/>
      </c>
      <c r="O13" s="58" t="str">
        <f aca="false">IF(M13="","",ABS(M13-H13)*24)</f>
        <v/>
      </c>
      <c r="P13" s="23"/>
      <c r="Q13" s="63" t="s">
        <v>102</v>
      </c>
      <c r="R13" s="63" t="s">
        <v>103</v>
      </c>
      <c r="S13" s="63" t="s">
        <v>104</v>
      </c>
    </row>
    <row r="14" customFormat="false" ht="36" hidden="false" customHeight="true" outlineLevel="0" collapsed="false">
      <c r="A14" s="11" t="n">
        <v>9</v>
      </c>
      <c r="B14" s="64" t="s">
        <v>60</v>
      </c>
      <c r="C14" s="11" t="s">
        <v>105</v>
      </c>
      <c r="D14" s="65" t="s">
        <v>106</v>
      </c>
      <c r="E14" s="66" t="s">
        <v>107</v>
      </c>
      <c r="F14" s="11" t="s">
        <v>64</v>
      </c>
      <c r="G14" s="17" t="e">
        <f aca="false">ROUND(2*$H$3,0)</f>
        <v>#VALUE!</v>
      </c>
      <c r="H14" s="16" t="e">
        <f aca="false">$C$3+G14</f>
        <v>#VALUE!</v>
      </c>
      <c r="I14" s="52"/>
      <c r="J14" s="53" t="n">
        <f aca="false">IF(I14="Complete",1,IF(I14="Skipped",1,IF(I14="Blocked",0.5,IF(I14="In Progress",0.25,0))))</f>
        <v>0</v>
      </c>
      <c r="K14" s="54"/>
      <c r="L14" s="55"/>
      <c r="M14" s="56"/>
      <c r="N14" s="57" t="str">
        <f aca="false">IF(M14="","",M14-H14)</f>
        <v/>
      </c>
      <c r="O14" s="58" t="str">
        <f aca="false">IF(M14="","",ABS(M14-H14)*24)</f>
        <v/>
      </c>
      <c r="P14" s="11"/>
      <c r="Q14" s="67" t="s">
        <v>108</v>
      </c>
      <c r="R14" s="67" t="s">
        <v>109</v>
      </c>
      <c r="S14" s="67" t="s">
        <v>110</v>
      </c>
    </row>
    <row r="15" customFormat="false" ht="36" hidden="false" customHeight="true" outlineLevel="0" collapsed="false">
      <c r="A15" s="23" t="n">
        <v>10</v>
      </c>
      <c r="B15" s="60" t="s">
        <v>60</v>
      </c>
      <c r="C15" s="23" t="s">
        <v>111</v>
      </c>
      <c r="D15" s="61" t="s">
        <v>112</v>
      </c>
      <c r="E15" s="62" t="s">
        <v>113</v>
      </c>
      <c r="F15" s="23" t="s">
        <v>114</v>
      </c>
      <c r="G15" s="26" t="e">
        <f aca="false">ROUND(2*$H$3,0)</f>
        <v>#VALUE!</v>
      </c>
      <c r="H15" s="25" t="e">
        <f aca="false">$C$3+G15</f>
        <v>#VALUE!</v>
      </c>
      <c r="I15" s="52"/>
      <c r="J15" s="53" t="n">
        <f aca="false">IF(I15="Complete",1,IF(I15="Skipped",1,IF(I15="Blocked",0.5,IF(I15="In Progress",0.25,0))))</f>
        <v>0</v>
      </c>
      <c r="K15" s="54"/>
      <c r="L15" s="55"/>
      <c r="M15" s="56"/>
      <c r="N15" s="57" t="str">
        <f aca="false">IF(M15="","",M15-H15)</f>
        <v/>
      </c>
      <c r="O15" s="58" t="str">
        <f aca="false">IF(M15="","",ABS(M15-H15)*24)</f>
        <v/>
      </c>
      <c r="P15" s="23"/>
      <c r="Q15" s="63" t="s">
        <v>115</v>
      </c>
      <c r="R15" s="63" t="s">
        <v>116</v>
      </c>
      <c r="S15" s="63" t="s">
        <v>117</v>
      </c>
    </row>
    <row r="16" customFormat="false" ht="36" hidden="false" customHeight="true" outlineLevel="0" collapsed="false">
      <c r="A16" s="46" t="n">
        <v>11</v>
      </c>
      <c r="B16" s="47" t="s">
        <v>118</v>
      </c>
      <c r="C16" s="46" t="s">
        <v>119</v>
      </c>
      <c r="D16" s="48" t="s">
        <v>120</v>
      </c>
      <c r="E16" s="49" t="s">
        <v>121</v>
      </c>
      <c r="F16" s="46" t="s">
        <v>64</v>
      </c>
      <c r="G16" s="50" t="e">
        <f aca="false">ROUND(3*$H$3,0)</f>
        <v>#VALUE!</v>
      </c>
      <c r="H16" s="51" t="e">
        <f aca="false">$C$3+G16</f>
        <v>#VALUE!</v>
      </c>
      <c r="I16" s="52"/>
      <c r="J16" s="53" t="n">
        <f aca="false">IF(I16="Complete",1,IF(I16="Skipped",1,IF(I16="Blocked",0.5,IF(I16="In Progress",0.25,0))))</f>
        <v>0</v>
      </c>
      <c r="K16" s="54"/>
      <c r="L16" s="55"/>
      <c r="M16" s="56"/>
      <c r="N16" s="57" t="str">
        <f aca="false">IF(M16="","",M16-H16)</f>
        <v/>
      </c>
      <c r="O16" s="58" t="str">
        <f aca="false">IF(M16="","",ABS(M16-H16)*24)</f>
        <v/>
      </c>
      <c r="P16" s="46"/>
      <c r="Q16" s="59" t="s">
        <v>122</v>
      </c>
      <c r="R16" s="59" t="s">
        <v>123</v>
      </c>
      <c r="S16" s="59" t="s">
        <v>124</v>
      </c>
    </row>
    <row r="17" customFormat="false" ht="36" hidden="false" customHeight="true" outlineLevel="0" collapsed="false">
      <c r="A17" s="23" t="n">
        <v>12</v>
      </c>
      <c r="B17" s="60" t="s">
        <v>118</v>
      </c>
      <c r="C17" s="23" t="s">
        <v>125</v>
      </c>
      <c r="D17" s="61" t="s">
        <v>126</v>
      </c>
      <c r="E17" s="62" t="s">
        <v>127</v>
      </c>
      <c r="F17" s="23" t="s">
        <v>64</v>
      </c>
      <c r="G17" s="26" t="e">
        <f aca="false">ROUND(3*$H$3,0)</f>
        <v>#VALUE!</v>
      </c>
      <c r="H17" s="25" t="e">
        <f aca="false">$C$3+G17</f>
        <v>#VALUE!</v>
      </c>
      <c r="I17" s="52"/>
      <c r="J17" s="53" t="n">
        <f aca="false">IF(I17="Complete",1,IF(I17="Skipped",1,IF(I17="Blocked",0.5,IF(I17="In Progress",0.25,0))))</f>
        <v>0</v>
      </c>
      <c r="K17" s="54"/>
      <c r="L17" s="55"/>
      <c r="M17" s="56"/>
      <c r="N17" s="57" t="str">
        <f aca="false">IF(M17="","",M17-H17)</f>
        <v/>
      </c>
      <c r="O17" s="58" t="str">
        <f aca="false">IF(M17="","",ABS(M17-H17)*24)</f>
        <v/>
      </c>
      <c r="P17" s="23"/>
      <c r="Q17" s="63" t="s">
        <v>128</v>
      </c>
      <c r="R17" s="63" t="s">
        <v>129</v>
      </c>
      <c r="S17" s="63" t="s">
        <v>130</v>
      </c>
    </row>
    <row r="18" customFormat="false" ht="36" hidden="false" customHeight="true" outlineLevel="0" collapsed="false">
      <c r="A18" s="11" t="n">
        <v>13</v>
      </c>
      <c r="B18" s="64" t="s">
        <v>118</v>
      </c>
      <c r="C18" s="11" t="s">
        <v>131</v>
      </c>
      <c r="D18" s="65" t="s">
        <v>132</v>
      </c>
      <c r="E18" s="66" t="s">
        <v>133</v>
      </c>
      <c r="F18" s="11" t="s">
        <v>64</v>
      </c>
      <c r="G18" s="17" t="e">
        <f aca="false">ROUND(3*$H$3,0)</f>
        <v>#VALUE!</v>
      </c>
      <c r="H18" s="16" t="e">
        <f aca="false">$C$3+G18</f>
        <v>#VALUE!</v>
      </c>
      <c r="I18" s="52"/>
      <c r="J18" s="53" t="n">
        <f aca="false">IF(I18="Complete",1,IF(I18="Skipped",1,IF(I18="Blocked",0.5,IF(I18="In Progress",0.25,0))))</f>
        <v>0</v>
      </c>
      <c r="K18" s="54"/>
      <c r="L18" s="55"/>
      <c r="M18" s="56"/>
      <c r="N18" s="57" t="str">
        <f aca="false">IF(M18="","",M18-H18)</f>
        <v/>
      </c>
      <c r="O18" s="58" t="str">
        <f aca="false">IF(M18="","",ABS(M18-H18)*24)</f>
        <v/>
      </c>
      <c r="P18" s="11"/>
      <c r="Q18" s="67" t="s">
        <v>134</v>
      </c>
      <c r="R18" s="67" t="s">
        <v>135</v>
      </c>
      <c r="S18" s="67" t="s">
        <v>136</v>
      </c>
    </row>
    <row r="19" customFormat="false" ht="36" hidden="false" customHeight="true" outlineLevel="0" collapsed="false">
      <c r="A19" s="23" t="n">
        <v>14</v>
      </c>
      <c r="B19" s="60" t="s">
        <v>118</v>
      </c>
      <c r="C19" s="23" t="s">
        <v>137</v>
      </c>
      <c r="D19" s="61" t="s">
        <v>138</v>
      </c>
      <c r="E19" s="62" t="s">
        <v>139</v>
      </c>
      <c r="F19" s="23" t="s">
        <v>64</v>
      </c>
      <c r="G19" s="26" t="e">
        <f aca="false">ROUND(3*$H$3,0)</f>
        <v>#VALUE!</v>
      </c>
      <c r="H19" s="25" t="e">
        <f aca="false">$C$3+G19</f>
        <v>#VALUE!</v>
      </c>
      <c r="I19" s="52"/>
      <c r="J19" s="53" t="n">
        <f aca="false">IF(I19="Complete",1,IF(I19="Skipped",1,IF(I19="Blocked",0.5,IF(I19="In Progress",0.25,0))))</f>
        <v>0</v>
      </c>
      <c r="K19" s="54"/>
      <c r="L19" s="55"/>
      <c r="M19" s="56"/>
      <c r="N19" s="57" t="str">
        <f aca="false">IF(M19="","",M19-H19)</f>
        <v/>
      </c>
      <c r="O19" s="58" t="str">
        <f aca="false">IF(M19="","",ABS(M19-H19)*24)</f>
        <v/>
      </c>
      <c r="P19" s="23"/>
      <c r="Q19" s="63" t="s">
        <v>140</v>
      </c>
      <c r="R19" s="63" t="s">
        <v>141</v>
      </c>
      <c r="S19" s="63" t="s">
        <v>142</v>
      </c>
    </row>
    <row r="20" customFormat="false" ht="36" hidden="false" customHeight="true" outlineLevel="0" collapsed="false">
      <c r="A20" s="11" t="n">
        <v>15</v>
      </c>
      <c r="B20" s="64" t="s">
        <v>118</v>
      </c>
      <c r="C20" s="11" t="s">
        <v>143</v>
      </c>
      <c r="D20" s="65" t="s">
        <v>144</v>
      </c>
      <c r="E20" s="66" t="s">
        <v>145</v>
      </c>
      <c r="F20" s="11" t="s">
        <v>64</v>
      </c>
      <c r="G20" s="17" t="e">
        <f aca="false">ROUND(3*$H$3,0)</f>
        <v>#VALUE!</v>
      </c>
      <c r="H20" s="16" t="e">
        <f aca="false">$C$3+G20</f>
        <v>#VALUE!</v>
      </c>
      <c r="I20" s="52"/>
      <c r="J20" s="53" t="n">
        <f aca="false">IF(I20="Complete",1,IF(I20="Skipped",1,IF(I20="Blocked",0.5,IF(I20="In Progress",0.25,0))))</f>
        <v>0</v>
      </c>
      <c r="K20" s="54"/>
      <c r="L20" s="55"/>
      <c r="M20" s="56"/>
      <c r="N20" s="57" t="str">
        <f aca="false">IF(M20="","",M20-H20)</f>
        <v/>
      </c>
      <c r="O20" s="58" t="str">
        <f aca="false">IF(M20="","",ABS(M20-H20)*24)</f>
        <v/>
      </c>
      <c r="P20" s="11"/>
      <c r="Q20" s="67" t="s">
        <v>146</v>
      </c>
      <c r="R20" s="67" t="s">
        <v>147</v>
      </c>
      <c r="S20" s="67" t="s">
        <v>148</v>
      </c>
    </row>
    <row r="21" customFormat="false" ht="36" hidden="false" customHeight="true" outlineLevel="0" collapsed="false">
      <c r="A21" s="23" t="n">
        <v>16</v>
      </c>
      <c r="B21" s="60" t="s">
        <v>118</v>
      </c>
      <c r="C21" s="23" t="s">
        <v>149</v>
      </c>
      <c r="D21" s="61" t="s">
        <v>150</v>
      </c>
      <c r="E21" s="62" t="s">
        <v>151</v>
      </c>
      <c r="F21" s="23" t="s">
        <v>152</v>
      </c>
      <c r="G21" s="26" t="e">
        <f aca="false">ROUND(3*$H$3,0)</f>
        <v>#VALUE!</v>
      </c>
      <c r="H21" s="25" t="e">
        <f aca="false">$C$3+G21</f>
        <v>#VALUE!</v>
      </c>
      <c r="I21" s="52"/>
      <c r="J21" s="53" t="n">
        <f aca="false">IF(I21="Complete",1,IF(I21="Skipped",1,IF(I21="Blocked",0.5,IF(I21="In Progress",0.25,0))))</f>
        <v>0</v>
      </c>
      <c r="K21" s="54"/>
      <c r="L21" s="55"/>
      <c r="M21" s="56"/>
      <c r="N21" s="57" t="str">
        <f aca="false">IF(M21="","",M21-H21)</f>
        <v/>
      </c>
      <c r="O21" s="58" t="str">
        <f aca="false">IF(M21="","",ABS(M21-H21)*24)</f>
        <v/>
      </c>
      <c r="P21" s="23"/>
      <c r="Q21" s="63" t="s">
        <v>153</v>
      </c>
      <c r="R21" s="63" t="s">
        <v>154</v>
      </c>
      <c r="S21" s="63" t="s">
        <v>155</v>
      </c>
    </row>
    <row r="22" customFormat="false" ht="36" hidden="false" customHeight="true" outlineLevel="0" collapsed="false">
      <c r="A22" s="46" t="n">
        <v>17</v>
      </c>
      <c r="B22" s="47" t="s">
        <v>156</v>
      </c>
      <c r="C22" s="46" t="s">
        <v>157</v>
      </c>
      <c r="D22" s="48" t="s">
        <v>158</v>
      </c>
      <c r="E22" s="49" t="s">
        <v>159</v>
      </c>
      <c r="F22" s="46" t="s">
        <v>64</v>
      </c>
      <c r="G22" s="50" t="e">
        <f aca="false">ROUND(4*$H$3,0)</f>
        <v>#VALUE!</v>
      </c>
      <c r="H22" s="51" t="e">
        <f aca="false">$C$3+G22</f>
        <v>#VALUE!</v>
      </c>
      <c r="I22" s="52"/>
      <c r="J22" s="53" t="n">
        <f aca="false">IF(I22="Complete",1,IF(I22="Skipped",1,IF(I22="Blocked",0.5,IF(I22="In Progress",0.25,0))))</f>
        <v>0</v>
      </c>
      <c r="K22" s="54"/>
      <c r="L22" s="55"/>
      <c r="M22" s="56"/>
      <c r="N22" s="57" t="str">
        <f aca="false">IF(M22="","",M22-H22)</f>
        <v/>
      </c>
      <c r="O22" s="58" t="str">
        <f aca="false">IF(M22="","",ABS(M22-H22)*24)</f>
        <v/>
      </c>
      <c r="P22" s="46"/>
      <c r="Q22" s="59" t="s">
        <v>160</v>
      </c>
      <c r="R22" s="59" t="s">
        <v>161</v>
      </c>
      <c r="S22" s="59" t="s">
        <v>162</v>
      </c>
    </row>
    <row r="23" customFormat="false" ht="36" hidden="false" customHeight="true" outlineLevel="0" collapsed="false">
      <c r="A23" s="23" t="n">
        <v>18</v>
      </c>
      <c r="B23" s="60" t="s">
        <v>156</v>
      </c>
      <c r="C23" s="23" t="s">
        <v>163</v>
      </c>
      <c r="D23" s="61" t="s">
        <v>164</v>
      </c>
      <c r="E23" s="62" t="s">
        <v>165</v>
      </c>
      <c r="F23" s="23" t="s">
        <v>64</v>
      </c>
      <c r="G23" s="26" t="e">
        <f aca="false">ROUND(4*$H$3,0)</f>
        <v>#VALUE!</v>
      </c>
      <c r="H23" s="25" t="e">
        <f aca="false">$C$3+G23</f>
        <v>#VALUE!</v>
      </c>
      <c r="I23" s="52"/>
      <c r="J23" s="53" t="n">
        <f aca="false">IF(I23="Complete",1,IF(I23="Skipped",1,IF(I23="Blocked",0.5,IF(I23="In Progress",0.25,0))))</f>
        <v>0</v>
      </c>
      <c r="K23" s="54"/>
      <c r="L23" s="55"/>
      <c r="M23" s="56"/>
      <c r="N23" s="57" t="str">
        <f aca="false">IF(M23="","",M23-H23)</f>
        <v/>
      </c>
      <c r="O23" s="58" t="str">
        <f aca="false">IF(M23="","",ABS(M23-H23)*24)</f>
        <v/>
      </c>
      <c r="P23" s="23"/>
      <c r="Q23" s="63" t="s">
        <v>166</v>
      </c>
      <c r="R23" s="63" t="s">
        <v>167</v>
      </c>
      <c r="S23" s="63"/>
    </row>
    <row r="24" customFormat="false" ht="36" hidden="false" customHeight="true" outlineLevel="0" collapsed="false">
      <c r="A24" s="11" t="n">
        <v>19</v>
      </c>
      <c r="B24" s="64" t="s">
        <v>156</v>
      </c>
      <c r="C24" s="11" t="s">
        <v>168</v>
      </c>
      <c r="D24" s="65" t="s">
        <v>169</v>
      </c>
      <c r="E24" s="66" t="s">
        <v>170</v>
      </c>
      <c r="F24" s="11" t="s">
        <v>64</v>
      </c>
      <c r="G24" s="17" t="e">
        <f aca="false">ROUND(4*$H$3,0)</f>
        <v>#VALUE!</v>
      </c>
      <c r="H24" s="16" t="e">
        <f aca="false">$C$3+G24</f>
        <v>#VALUE!</v>
      </c>
      <c r="I24" s="52"/>
      <c r="J24" s="53" t="n">
        <f aca="false">IF(I24="Complete",1,IF(I24="Skipped",1,IF(I24="Blocked",0.5,IF(I24="In Progress",0.25,0))))</f>
        <v>0</v>
      </c>
      <c r="K24" s="54"/>
      <c r="L24" s="55"/>
      <c r="M24" s="56"/>
      <c r="N24" s="57" t="str">
        <f aca="false">IF(M24="","",M24-H24)</f>
        <v/>
      </c>
      <c r="O24" s="58" t="str">
        <f aca="false">IF(M24="","",ABS(M24-H24)*24)</f>
        <v/>
      </c>
      <c r="P24" s="11"/>
      <c r="Q24" s="67" t="s">
        <v>171</v>
      </c>
      <c r="R24" s="67" t="s">
        <v>172</v>
      </c>
      <c r="S24" s="67" t="s">
        <v>173</v>
      </c>
    </row>
    <row r="25" customFormat="false" ht="36" hidden="false" customHeight="true" outlineLevel="0" collapsed="false">
      <c r="A25" s="23" t="n">
        <v>20</v>
      </c>
      <c r="B25" s="60" t="s">
        <v>156</v>
      </c>
      <c r="C25" s="23" t="s">
        <v>174</v>
      </c>
      <c r="D25" s="61" t="s">
        <v>175</v>
      </c>
      <c r="E25" s="62" t="s">
        <v>176</v>
      </c>
      <c r="F25" s="23" t="s">
        <v>64</v>
      </c>
      <c r="G25" s="26" t="e">
        <f aca="false">ROUND(4*$H$3,0)</f>
        <v>#VALUE!</v>
      </c>
      <c r="H25" s="25" t="e">
        <f aca="false">$C$3+G25</f>
        <v>#VALUE!</v>
      </c>
      <c r="I25" s="52"/>
      <c r="J25" s="53" t="n">
        <f aca="false">IF(I25="Complete",1,IF(I25="Skipped",1,IF(I25="Blocked",0.5,IF(I25="In Progress",0.25,0))))</f>
        <v>0</v>
      </c>
      <c r="K25" s="54"/>
      <c r="L25" s="55"/>
      <c r="M25" s="56"/>
      <c r="N25" s="57" t="str">
        <f aca="false">IF(M25="","",M25-H25)</f>
        <v/>
      </c>
      <c r="O25" s="58" t="str">
        <f aca="false">IF(M25="","",ABS(M25-H25)*24)</f>
        <v/>
      </c>
      <c r="P25" s="23"/>
      <c r="Q25" s="63" t="s">
        <v>177</v>
      </c>
      <c r="R25" s="63" t="s">
        <v>178</v>
      </c>
      <c r="S25" s="63" t="s">
        <v>179</v>
      </c>
    </row>
    <row r="26" customFormat="false" ht="36" hidden="false" customHeight="true" outlineLevel="0" collapsed="false">
      <c r="A26" s="11" t="n">
        <v>21</v>
      </c>
      <c r="B26" s="64" t="s">
        <v>156</v>
      </c>
      <c r="C26" s="11" t="s">
        <v>180</v>
      </c>
      <c r="D26" s="65" t="s">
        <v>181</v>
      </c>
      <c r="E26" s="66" t="s">
        <v>182</v>
      </c>
      <c r="F26" s="11" t="s">
        <v>64</v>
      </c>
      <c r="G26" s="17" t="e">
        <f aca="false">ROUND(4*$H$3,0)</f>
        <v>#VALUE!</v>
      </c>
      <c r="H26" s="16" t="e">
        <f aca="false">$C$3+G26</f>
        <v>#VALUE!</v>
      </c>
      <c r="I26" s="52"/>
      <c r="J26" s="53" t="n">
        <f aca="false">IF(I26="Complete",1,IF(I26="Skipped",1,IF(I26="Blocked",0.5,IF(I26="In Progress",0.25,0))))</f>
        <v>0</v>
      </c>
      <c r="K26" s="54"/>
      <c r="L26" s="55"/>
      <c r="M26" s="56"/>
      <c r="N26" s="57" t="str">
        <f aca="false">IF(M26="","",M26-H26)</f>
        <v/>
      </c>
      <c r="O26" s="58" t="str">
        <f aca="false">IF(M26="","",ABS(M26-H26)*24)</f>
        <v/>
      </c>
      <c r="P26" s="11"/>
      <c r="Q26" s="67" t="s">
        <v>183</v>
      </c>
      <c r="R26" s="67" t="s">
        <v>184</v>
      </c>
      <c r="S26" s="67" t="s">
        <v>185</v>
      </c>
    </row>
    <row r="27" customFormat="false" ht="36" hidden="false" customHeight="true" outlineLevel="0" collapsed="false">
      <c r="A27" s="23" t="n">
        <v>22</v>
      </c>
      <c r="B27" s="60" t="s">
        <v>156</v>
      </c>
      <c r="C27" s="23" t="s">
        <v>186</v>
      </c>
      <c r="D27" s="61" t="s">
        <v>187</v>
      </c>
      <c r="E27" s="62" t="s">
        <v>188</v>
      </c>
      <c r="F27" s="23" t="s">
        <v>64</v>
      </c>
      <c r="G27" s="26" t="e">
        <f aca="false">ROUND(4*$H$3,0)</f>
        <v>#VALUE!</v>
      </c>
      <c r="H27" s="25" t="e">
        <f aca="false">$C$3+G27</f>
        <v>#VALUE!</v>
      </c>
      <c r="I27" s="52"/>
      <c r="J27" s="53" t="n">
        <f aca="false">IF(I27="Complete",1,IF(I27="Skipped",1,IF(I27="Blocked",0.5,IF(I27="In Progress",0.25,0))))</f>
        <v>0</v>
      </c>
      <c r="K27" s="54"/>
      <c r="L27" s="55"/>
      <c r="M27" s="56"/>
      <c r="N27" s="57" t="str">
        <f aca="false">IF(M27="","",M27-H27)</f>
        <v/>
      </c>
      <c r="O27" s="58" t="str">
        <f aca="false">IF(M27="","",ABS(M27-H27)*24)</f>
        <v/>
      </c>
      <c r="P27" s="23"/>
      <c r="Q27" s="63" t="s">
        <v>189</v>
      </c>
      <c r="R27" s="63" t="s">
        <v>190</v>
      </c>
      <c r="S27" s="63" t="s">
        <v>191</v>
      </c>
    </row>
    <row r="28" customFormat="false" ht="36" hidden="false" customHeight="true" outlineLevel="0" collapsed="false">
      <c r="A28" s="11" t="n">
        <v>23</v>
      </c>
      <c r="B28" s="64" t="s">
        <v>156</v>
      </c>
      <c r="C28" s="11" t="s">
        <v>192</v>
      </c>
      <c r="D28" s="65" t="s">
        <v>193</v>
      </c>
      <c r="E28" s="66" t="s">
        <v>194</v>
      </c>
      <c r="F28" s="11" t="s">
        <v>64</v>
      </c>
      <c r="G28" s="17" t="e">
        <f aca="false">ROUND(5*$H$3,0)</f>
        <v>#VALUE!</v>
      </c>
      <c r="H28" s="16" t="e">
        <f aca="false">$C$3+G28</f>
        <v>#VALUE!</v>
      </c>
      <c r="I28" s="52"/>
      <c r="J28" s="53" t="n">
        <f aca="false">IF(I28="Complete",1,IF(I28="Skipped",1,IF(I28="Blocked",0.5,IF(I28="In Progress",0.25,0))))</f>
        <v>0</v>
      </c>
      <c r="K28" s="54"/>
      <c r="L28" s="55"/>
      <c r="M28" s="56"/>
      <c r="N28" s="57" t="str">
        <f aca="false">IF(M28="","",M28-H28)</f>
        <v/>
      </c>
      <c r="O28" s="58" t="str">
        <f aca="false">IF(M28="","",ABS(M28-H28)*24)</f>
        <v/>
      </c>
      <c r="P28" s="11"/>
      <c r="Q28" s="67" t="s">
        <v>195</v>
      </c>
      <c r="R28" s="67" t="s">
        <v>196</v>
      </c>
      <c r="S28" s="67" t="s">
        <v>197</v>
      </c>
    </row>
    <row r="29" customFormat="false" ht="36" hidden="false" customHeight="true" outlineLevel="0" collapsed="false">
      <c r="A29" s="23" t="n">
        <v>24</v>
      </c>
      <c r="B29" s="60" t="s">
        <v>156</v>
      </c>
      <c r="C29" s="23" t="s">
        <v>198</v>
      </c>
      <c r="D29" s="61" t="s">
        <v>199</v>
      </c>
      <c r="E29" s="62" t="s">
        <v>200</v>
      </c>
      <c r="F29" s="23" t="s">
        <v>64</v>
      </c>
      <c r="G29" s="26" t="e">
        <f aca="false">ROUND(5*$H$3,0)</f>
        <v>#VALUE!</v>
      </c>
      <c r="H29" s="25" t="e">
        <f aca="false">$C$3+G29</f>
        <v>#VALUE!</v>
      </c>
      <c r="I29" s="52"/>
      <c r="J29" s="53" t="n">
        <f aca="false">IF(I29="Complete",1,IF(I29="Skipped",1,IF(I29="Blocked",0.5,IF(I29="In Progress",0.25,0))))</f>
        <v>0</v>
      </c>
      <c r="K29" s="54"/>
      <c r="L29" s="55"/>
      <c r="M29" s="56"/>
      <c r="N29" s="57" t="str">
        <f aca="false">IF(M29="","",M29-H29)</f>
        <v/>
      </c>
      <c r="O29" s="58" t="str">
        <f aca="false">IF(M29="","",ABS(M29-H29)*24)</f>
        <v/>
      </c>
      <c r="P29" s="23"/>
      <c r="Q29" s="63" t="s">
        <v>201</v>
      </c>
      <c r="R29" s="63" t="s">
        <v>202</v>
      </c>
      <c r="S29" s="63" t="s">
        <v>203</v>
      </c>
    </row>
    <row r="30" customFormat="false" ht="36" hidden="false" customHeight="true" outlineLevel="0" collapsed="false">
      <c r="A30" s="11" t="n">
        <v>25</v>
      </c>
      <c r="B30" s="64" t="s">
        <v>156</v>
      </c>
      <c r="C30" s="11" t="s">
        <v>204</v>
      </c>
      <c r="D30" s="65" t="s">
        <v>205</v>
      </c>
      <c r="E30" s="66" t="s">
        <v>206</v>
      </c>
      <c r="F30" s="11" t="s">
        <v>64</v>
      </c>
      <c r="G30" s="17" t="e">
        <f aca="false">ROUND(5*$H$3,0)</f>
        <v>#VALUE!</v>
      </c>
      <c r="H30" s="16" t="e">
        <f aca="false">$C$3+G30</f>
        <v>#VALUE!</v>
      </c>
      <c r="I30" s="52"/>
      <c r="J30" s="53" t="n">
        <f aca="false">IF(I30="Complete",1,IF(I30="Skipped",1,IF(I30="Blocked",0.5,IF(I30="In Progress",0.25,0))))</f>
        <v>0</v>
      </c>
      <c r="K30" s="54"/>
      <c r="L30" s="55"/>
      <c r="M30" s="56"/>
      <c r="N30" s="57" t="str">
        <f aca="false">IF(M30="","",M30-H30)</f>
        <v/>
      </c>
      <c r="O30" s="58" t="str">
        <f aca="false">IF(M30="","",ABS(M30-H30)*24)</f>
        <v/>
      </c>
      <c r="P30" s="11"/>
      <c r="Q30" s="67" t="s">
        <v>207</v>
      </c>
      <c r="R30" s="67" t="s">
        <v>208</v>
      </c>
      <c r="S30" s="67" t="s">
        <v>209</v>
      </c>
    </row>
    <row r="31" customFormat="false" ht="36" hidden="false" customHeight="true" outlineLevel="0" collapsed="false">
      <c r="A31" s="46" t="n">
        <v>26</v>
      </c>
      <c r="B31" s="47" t="s">
        <v>210</v>
      </c>
      <c r="C31" s="46" t="s">
        <v>211</v>
      </c>
      <c r="D31" s="48" t="s">
        <v>212</v>
      </c>
      <c r="E31" s="49" t="s">
        <v>213</v>
      </c>
      <c r="F31" s="46" t="s">
        <v>214</v>
      </c>
      <c r="G31" s="50" t="e">
        <f aca="false">ROUND(6*$H$3,0)</f>
        <v>#VALUE!</v>
      </c>
      <c r="H31" s="51" t="e">
        <f aca="false">$C$3+G31</f>
        <v>#VALUE!</v>
      </c>
      <c r="I31" s="52"/>
      <c r="J31" s="53" t="n">
        <f aca="false">IF(I31="Complete",1,IF(I31="Skipped",1,IF(I31="Blocked",0.5,IF(I31="In Progress",0.25,0))))</f>
        <v>0</v>
      </c>
      <c r="K31" s="54"/>
      <c r="L31" s="55"/>
      <c r="M31" s="56"/>
      <c r="N31" s="57" t="str">
        <f aca="false">IF(M31="","",M31-H31)</f>
        <v/>
      </c>
      <c r="O31" s="58" t="str">
        <f aca="false">IF(M31="","",ABS(M31-H31)*24)</f>
        <v/>
      </c>
      <c r="P31" s="46"/>
      <c r="Q31" s="59" t="s">
        <v>215</v>
      </c>
      <c r="R31" s="59" t="s">
        <v>216</v>
      </c>
      <c r="S31" s="59" t="s">
        <v>217</v>
      </c>
    </row>
    <row r="32" customFormat="false" ht="36" hidden="false" customHeight="true" outlineLevel="0" collapsed="false">
      <c r="A32" s="11" t="n">
        <v>27</v>
      </c>
      <c r="B32" s="64" t="s">
        <v>210</v>
      </c>
      <c r="C32" s="11" t="s">
        <v>218</v>
      </c>
      <c r="D32" s="65" t="s">
        <v>219</v>
      </c>
      <c r="E32" s="66" t="s">
        <v>220</v>
      </c>
      <c r="F32" s="11" t="s">
        <v>214</v>
      </c>
      <c r="G32" s="17" t="e">
        <f aca="false">ROUND(6*$H$3,0)</f>
        <v>#VALUE!</v>
      </c>
      <c r="H32" s="16" t="e">
        <f aca="false">$C$3+G32</f>
        <v>#VALUE!</v>
      </c>
      <c r="I32" s="52"/>
      <c r="J32" s="53" t="n">
        <f aca="false">IF(I32="Complete",1,IF(I32="Skipped",1,IF(I32="Blocked",0.5,IF(I32="In Progress",0.25,0))))</f>
        <v>0</v>
      </c>
      <c r="K32" s="54"/>
      <c r="L32" s="55"/>
      <c r="M32" s="56"/>
      <c r="N32" s="57" t="str">
        <f aca="false">IF(M32="","",M32-H32)</f>
        <v/>
      </c>
      <c r="O32" s="58" t="str">
        <f aca="false">IF(M32="","",ABS(M32-H32)*24)</f>
        <v/>
      </c>
      <c r="P32" s="11"/>
      <c r="Q32" s="67" t="s">
        <v>221</v>
      </c>
      <c r="R32" s="67" t="s">
        <v>222</v>
      </c>
      <c r="S32" s="67" t="s">
        <v>223</v>
      </c>
    </row>
    <row r="33" customFormat="false" ht="36" hidden="false" customHeight="true" outlineLevel="0" collapsed="false">
      <c r="A33" s="23" t="n">
        <v>28</v>
      </c>
      <c r="B33" s="60" t="s">
        <v>210</v>
      </c>
      <c r="C33" s="23" t="s">
        <v>224</v>
      </c>
      <c r="D33" s="61" t="s">
        <v>225</v>
      </c>
      <c r="E33" s="62" t="s">
        <v>226</v>
      </c>
      <c r="F33" s="23" t="s">
        <v>64</v>
      </c>
      <c r="G33" s="26" t="e">
        <f aca="false">ROUND(7*$H$3,0)</f>
        <v>#VALUE!</v>
      </c>
      <c r="H33" s="25" t="e">
        <f aca="false">$C$3+G33</f>
        <v>#VALUE!</v>
      </c>
      <c r="I33" s="52"/>
      <c r="J33" s="53" t="n">
        <f aca="false">IF(I33="Complete",1,IF(I33="Skipped",1,IF(I33="Blocked",0.5,IF(I33="In Progress",0.25,0))))</f>
        <v>0</v>
      </c>
      <c r="K33" s="54"/>
      <c r="L33" s="55"/>
      <c r="M33" s="56"/>
      <c r="N33" s="57" t="str">
        <f aca="false">IF(M33="","",M33-H33)</f>
        <v/>
      </c>
      <c r="O33" s="58" t="str">
        <f aca="false">IF(M33="","",ABS(M33-H33)*24)</f>
        <v/>
      </c>
      <c r="P33" s="23"/>
      <c r="Q33" s="63" t="s">
        <v>227</v>
      </c>
      <c r="R33" s="63" t="s">
        <v>228</v>
      </c>
      <c r="S33" s="63" t="s">
        <v>229</v>
      </c>
    </row>
    <row r="34" customFormat="false" ht="36" hidden="false" customHeight="true" outlineLevel="0" collapsed="false">
      <c r="A34" s="11" t="n">
        <v>29</v>
      </c>
      <c r="B34" s="64" t="s">
        <v>210</v>
      </c>
      <c r="C34" s="11" t="s">
        <v>230</v>
      </c>
      <c r="D34" s="65" t="s">
        <v>231</v>
      </c>
      <c r="E34" s="66" t="s">
        <v>232</v>
      </c>
      <c r="F34" s="11" t="s">
        <v>214</v>
      </c>
      <c r="G34" s="17" t="e">
        <f aca="false">ROUND(8*$H$3,0)</f>
        <v>#VALUE!</v>
      </c>
      <c r="H34" s="16" t="e">
        <f aca="false">$C$3+G34</f>
        <v>#VALUE!</v>
      </c>
      <c r="I34" s="52"/>
      <c r="J34" s="53" t="n">
        <f aca="false">IF(I34="Complete",1,IF(I34="Skipped",1,IF(I34="Blocked",0.5,IF(I34="In Progress",0.25,0))))</f>
        <v>0</v>
      </c>
      <c r="K34" s="54"/>
      <c r="L34" s="55"/>
      <c r="M34" s="56"/>
      <c r="N34" s="57" t="str">
        <f aca="false">IF(M34="","",M34-H34)</f>
        <v/>
      </c>
      <c r="O34" s="58" t="str">
        <f aca="false">IF(M34="","",ABS(M34-H34)*24)</f>
        <v/>
      </c>
      <c r="P34" s="11"/>
      <c r="Q34" s="67" t="s">
        <v>233</v>
      </c>
      <c r="R34" s="67" t="s">
        <v>66</v>
      </c>
      <c r="S34" s="67" t="s">
        <v>234</v>
      </c>
    </row>
    <row r="35" customFormat="false" ht="36" hidden="false" customHeight="true" outlineLevel="0" collapsed="false">
      <c r="A35" s="23" t="n">
        <v>30</v>
      </c>
      <c r="B35" s="60" t="s">
        <v>210</v>
      </c>
      <c r="C35" s="23" t="s">
        <v>235</v>
      </c>
      <c r="D35" s="61" t="s">
        <v>236</v>
      </c>
      <c r="E35" s="62" t="s">
        <v>237</v>
      </c>
      <c r="F35" s="23" t="s">
        <v>114</v>
      </c>
      <c r="G35" s="26" t="e">
        <f aca="false">ROUND(8*$H$3,0)</f>
        <v>#VALUE!</v>
      </c>
      <c r="H35" s="25" t="e">
        <f aca="false">$C$3+G35</f>
        <v>#VALUE!</v>
      </c>
      <c r="I35" s="52"/>
      <c r="J35" s="53" t="n">
        <f aca="false">IF(I35="Complete",1,IF(I35="Skipped",1,IF(I35="Blocked",0.5,IF(I35="In Progress",0.25,0))))</f>
        <v>0</v>
      </c>
      <c r="K35" s="54"/>
      <c r="L35" s="55"/>
      <c r="M35" s="56"/>
      <c r="N35" s="57" t="str">
        <f aca="false">IF(M35="","",M35-H35)</f>
        <v/>
      </c>
      <c r="O35" s="58" t="str">
        <f aca="false">IF(M35="","",ABS(M35-H35)*24)</f>
        <v/>
      </c>
      <c r="P35" s="23"/>
      <c r="Q35" s="63" t="s">
        <v>238</v>
      </c>
      <c r="R35" s="63" t="s">
        <v>239</v>
      </c>
      <c r="S35" s="63"/>
    </row>
    <row r="36" customFormat="false" ht="36" hidden="false" customHeight="true" outlineLevel="0" collapsed="false">
      <c r="A36" s="46" t="n">
        <v>31</v>
      </c>
      <c r="B36" s="47" t="s">
        <v>240</v>
      </c>
      <c r="C36" s="46" t="s">
        <v>241</v>
      </c>
      <c r="D36" s="48" t="s">
        <v>242</v>
      </c>
      <c r="E36" s="49" t="s">
        <v>243</v>
      </c>
      <c r="F36" s="46" t="s">
        <v>64</v>
      </c>
      <c r="G36" s="50" t="e">
        <f aca="false">ROUND(9*$H$3,0)</f>
        <v>#VALUE!</v>
      </c>
      <c r="H36" s="51" t="e">
        <f aca="false">$C$3+G36</f>
        <v>#VALUE!</v>
      </c>
      <c r="I36" s="52"/>
      <c r="J36" s="53" t="n">
        <f aca="false">IF(I36="Complete",1,IF(I36="Skipped",1,IF(I36="Blocked",0.5,IF(I36="In Progress",0.25,0))))</f>
        <v>0</v>
      </c>
      <c r="K36" s="54"/>
      <c r="L36" s="55"/>
      <c r="M36" s="56"/>
      <c r="N36" s="57" t="str">
        <f aca="false">IF(M36="","",M36-H36)</f>
        <v/>
      </c>
      <c r="O36" s="58" t="str">
        <f aca="false">IF(M36="","",ABS(M36-H36)*24)</f>
        <v/>
      </c>
      <c r="P36" s="46"/>
      <c r="Q36" s="59" t="s">
        <v>244</v>
      </c>
      <c r="R36" s="59" t="s">
        <v>245</v>
      </c>
      <c r="S36" s="59" t="s">
        <v>246</v>
      </c>
    </row>
    <row r="37" customFormat="false" ht="36" hidden="false" customHeight="true" outlineLevel="0" collapsed="false">
      <c r="A37" s="23" t="n">
        <v>32</v>
      </c>
      <c r="B37" s="60" t="s">
        <v>240</v>
      </c>
      <c r="C37" s="23" t="s">
        <v>247</v>
      </c>
      <c r="D37" s="61" t="s">
        <v>248</v>
      </c>
      <c r="E37" s="62" t="s">
        <v>249</v>
      </c>
      <c r="F37" s="23" t="s">
        <v>114</v>
      </c>
      <c r="G37" s="26" t="e">
        <f aca="false">ROUND(10*$H$3,0)</f>
        <v>#VALUE!</v>
      </c>
      <c r="H37" s="25" t="e">
        <f aca="false">$C$3+G37</f>
        <v>#VALUE!</v>
      </c>
      <c r="I37" s="52"/>
      <c r="J37" s="53" t="n">
        <f aca="false">IF(I37="Complete",1,IF(I37="Skipped",1,IF(I37="Blocked",0.5,IF(I37="In Progress",0.25,0))))</f>
        <v>0</v>
      </c>
      <c r="K37" s="54"/>
      <c r="L37" s="55"/>
      <c r="M37" s="56"/>
      <c r="N37" s="57" t="str">
        <f aca="false">IF(M37="","",M37-H37)</f>
        <v/>
      </c>
      <c r="O37" s="58" t="str">
        <f aca="false">IF(M37="","",ABS(M37-H37)*24)</f>
        <v/>
      </c>
      <c r="P37" s="23"/>
      <c r="Q37" s="63" t="s">
        <v>250</v>
      </c>
      <c r="R37" s="63" t="s">
        <v>251</v>
      </c>
      <c r="S37" s="63"/>
    </row>
    <row r="38" customFormat="false" ht="36" hidden="false" customHeight="true" outlineLevel="0" collapsed="false">
      <c r="A38" s="11" t="n">
        <v>33</v>
      </c>
      <c r="B38" s="64" t="s">
        <v>240</v>
      </c>
      <c r="C38" s="11" t="s">
        <v>252</v>
      </c>
      <c r="D38" s="65" t="s">
        <v>253</v>
      </c>
      <c r="E38" s="66" t="s">
        <v>254</v>
      </c>
      <c r="F38" s="11" t="s">
        <v>152</v>
      </c>
      <c r="G38" s="17" t="e">
        <f aca="false">ROUND(10*$H$3,0)</f>
        <v>#VALUE!</v>
      </c>
      <c r="H38" s="16" t="e">
        <f aca="false">$C$3+G38</f>
        <v>#VALUE!</v>
      </c>
      <c r="I38" s="52"/>
      <c r="J38" s="53" t="n">
        <f aca="false">IF(I38="Complete",1,IF(I38="Skipped",1,IF(I38="Blocked",0.5,IF(I38="In Progress",0.25,0))))</f>
        <v>0</v>
      </c>
      <c r="K38" s="54"/>
      <c r="L38" s="55"/>
      <c r="M38" s="56"/>
      <c r="N38" s="57" t="str">
        <f aca="false">IF(M38="","",M38-H38)</f>
        <v/>
      </c>
      <c r="O38" s="58" t="str">
        <f aca="false">IF(M38="","",ABS(M38-H38)*24)</f>
        <v/>
      </c>
      <c r="P38" s="11"/>
      <c r="Q38" s="67" t="s">
        <v>255</v>
      </c>
      <c r="R38" s="67" t="s">
        <v>256</v>
      </c>
      <c r="S38" s="67" t="s">
        <v>257</v>
      </c>
    </row>
    <row r="39" customFormat="false" ht="36" hidden="false" customHeight="true" outlineLevel="0" collapsed="false">
      <c r="A39" s="23" t="n">
        <v>34</v>
      </c>
      <c r="B39" s="60" t="s">
        <v>240</v>
      </c>
      <c r="C39" s="23" t="s">
        <v>258</v>
      </c>
      <c r="D39" s="61" t="s">
        <v>259</v>
      </c>
      <c r="E39" s="62" t="s">
        <v>260</v>
      </c>
      <c r="F39" s="23" t="s">
        <v>64</v>
      </c>
      <c r="G39" s="26" t="e">
        <f aca="false">ROUND(10*$H$3,0)</f>
        <v>#VALUE!</v>
      </c>
      <c r="H39" s="25" t="e">
        <f aca="false">$C$3+G39</f>
        <v>#VALUE!</v>
      </c>
      <c r="I39" s="52"/>
      <c r="J39" s="53" t="n">
        <f aca="false">IF(I39="Complete",1,IF(I39="Skipped",1,IF(I39="Blocked",0.5,IF(I39="In Progress",0.25,0))))</f>
        <v>0</v>
      </c>
      <c r="K39" s="54"/>
      <c r="L39" s="55"/>
      <c r="M39" s="56"/>
      <c r="N39" s="57" t="str">
        <f aca="false">IF(M39="","",M39-H39)</f>
        <v/>
      </c>
      <c r="O39" s="58" t="str">
        <f aca="false">IF(M39="","",ABS(M39-H39)*24)</f>
        <v/>
      </c>
      <c r="P39" s="23"/>
      <c r="Q39" s="63" t="s">
        <v>261</v>
      </c>
      <c r="R39" s="63" t="s">
        <v>262</v>
      </c>
      <c r="S39" s="63"/>
    </row>
    <row r="40" customFormat="false" ht="36" hidden="false" customHeight="true" outlineLevel="0" collapsed="false">
      <c r="A40" s="46" t="n">
        <v>35</v>
      </c>
      <c r="B40" s="47" t="s">
        <v>263</v>
      </c>
      <c r="C40" s="46" t="s">
        <v>264</v>
      </c>
      <c r="D40" s="48" t="s">
        <v>265</v>
      </c>
      <c r="E40" s="49" t="s">
        <v>266</v>
      </c>
      <c r="F40" s="46" t="s">
        <v>64</v>
      </c>
      <c r="G40" s="50" t="e">
        <f aca="false">ROUND(10*$H$3,0)</f>
        <v>#VALUE!</v>
      </c>
      <c r="H40" s="51" t="e">
        <f aca="false">$C$3+G40</f>
        <v>#VALUE!</v>
      </c>
      <c r="I40" s="52"/>
      <c r="J40" s="53" t="n">
        <f aca="false">IF(I40="Complete",1,IF(I40="Skipped",1,IF(I40="Blocked",0.5,IF(I40="In Progress",0.25,0))))</f>
        <v>0</v>
      </c>
      <c r="K40" s="54"/>
      <c r="L40" s="55"/>
      <c r="M40" s="56"/>
      <c r="N40" s="57" t="str">
        <f aca="false">IF(M40="","",M40-H40)</f>
        <v/>
      </c>
      <c r="O40" s="58" t="str">
        <f aca="false">IF(M40="","",ABS(M40-H40)*24)</f>
        <v/>
      </c>
      <c r="P40" s="46"/>
      <c r="Q40" s="59" t="s">
        <v>267</v>
      </c>
      <c r="R40" s="59" t="s">
        <v>268</v>
      </c>
      <c r="S40" s="59" t="s">
        <v>269</v>
      </c>
    </row>
    <row r="41" customFormat="false" ht="36" hidden="false" customHeight="true" outlineLevel="0" collapsed="false">
      <c r="A41" s="46" t="n">
        <v>36</v>
      </c>
      <c r="B41" s="47" t="s">
        <v>270</v>
      </c>
      <c r="C41" s="46" t="s">
        <v>271</v>
      </c>
      <c r="D41" s="48" t="s">
        <v>272</v>
      </c>
      <c r="E41" s="49" t="s">
        <v>273</v>
      </c>
      <c r="F41" s="46" t="s">
        <v>214</v>
      </c>
      <c r="G41" s="50" t="e">
        <f aca="false">ROUND(11*$H$3,0)</f>
        <v>#VALUE!</v>
      </c>
      <c r="H41" s="51" t="e">
        <f aca="false">$C$3+G41</f>
        <v>#VALUE!</v>
      </c>
      <c r="I41" s="52"/>
      <c r="J41" s="53" t="n">
        <f aca="false">IF(I41="Complete",1,IF(I41="Skipped",1,IF(I41="Blocked",0.5,IF(I41="In Progress",0.25,0))))</f>
        <v>0</v>
      </c>
      <c r="K41" s="54"/>
      <c r="L41" s="55"/>
      <c r="M41" s="56"/>
      <c r="N41" s="57" t="str">
        <f aca="false">IF(M41="","",M41-H41)</f>
        <v/>
      </c>
      <c r="O41" s="58" t="str">
        <f aca="false">IF(M41="","",ABS(M41-H41)*24)</f>
        <v/>
      </c>
      <c r="P41" s="46"/>
      <c r="Q41" s="59" t="s">
        <v>274</v>
      </c>
      <c r="R41" s="59" t="s">
        <v>275</v>
      </c>
      <c r="S41" s="59" t="s">
        <v>276</v>
      </c>
    </row>
    <row r="42" customFormat="false" ht="36" hidden="false" customHeight="true" outlineLevel="0" collapsed="false">
      <c r="A42" s="11" t="n">
        <v>37</v>
      </c>
      <c r="B42" s="64" t="s">
        <v>270</v>
      </c>
      <c r="C42" s="11" t="s">
        <v>277</v>
      </c>
      <c r="D42" s="65" t="s">
        <v>278</v>
      </c>
      <c r="E42" s="66" t="s">
        <v>279</v>
      </c>
      <c r="F42" s="11" t="s">
        <v>64</v>
      </c>
      <c r="G42" s="17" t="e">
        <f aca="false">ROUND(11*$H$3,0)</f>
        <v>#VALUE!</v>
      </c>
      <c r="H42" s="16" t="e">
        <f aca="false">$C$3+G42</f>
        <v>#VALUE!</v>
      </c>
      <c r="I42" s="52"/>
      <c r="J42" s="53" t="n">
        <f aca="false">IF(I42="Complete",1,IF(I42="Skipped",1,IF(I42="Blocked",0.5,IF(I42="In Progress",0.25,0))))</f>
        <v>0</v>
      </c>
      <c r="K42" s="54"/>
      <c r="L42" s="55"/>
      <c r="M42" s="56"/>
      <c r="N42" s="57" t="str">
        <f aca="false">IF(M42="","",M42-H42)</f>
        <v/>
      </c>
      <c r="O42" s="58" t="str">
        <f aca="false">IF(M42="","",ABS(M42-H42)*24)</f>
        <v/>
      </c>
      <c r="P42" s="11"/>
      <c r="Q42" s="67" t="s">
        <v>280</v>
      </c>
      <c r="R42" s="67" t="s">
        <v>281</v>
      </c>
      <c r="S42" s="67" t="s">
        <v>282</v>
      </c>
    </row>
    <row r="43" customFormat="false" ht="36" hidden="false" customHeight="true" outlineLevel="0" collapsed="false">
      <c r="A43" s="23" t="n">
        <v>38</v>
      </c>
      <c r="B43" s="60" t="s">
        <v>270</v>
      </c>
      <c r="C43" s="23" t="s">
        <v>283</v>
      </c>
      <c r="D43" s="61" t="s">
        <v>284</v>
      </c>
      <c r="E43" s="62" t="s">
        <v>285</v>
      </c>
      <c r="F43" s="23" t="s">
        <v>114</v>
      </c>
      <c r="G43" s="26" t="e">
        <f aca="false">ROUND(11*$H$3,0)</f>
        <v>#VALUE!</v>
      </c>
      <c r="H43" s="25" t="e">
        <f aca="false">$C$3+G43</f>
        <v>#VALUE!</v>
      </c>
      <c r="I43" s="52"/>
      <c r="J43" s="53" t="n">
        <f aca="false">IF(I43="Complete",1,IF(I43="Skipped",1,IF(I43="Blocked",0.5,IF(I43="In Progress",0.25,0))))</f>
        <v>0</v>
      </c>
      <c r="K43" s="54"/>
      <c r="L43" s="55"/>
      <c r="M43" s="56"/>
      <c r="N43" s="57" t="str">
        <f aca="false">IF(M43="","",M43-H43)</f>
        <v/>
      </c>
      <c r="O43" s="58" t="str">
        <f aca="false">IF(M43="","",ABS(M43-H43)*24)</f>
        <v/>
      </c>
      <c r="P43" s="23"/>
      <c r="Q43" s="63" t="s">
        <v>286</v>
      </c>
      <c r="R43" s="63" t="s">
        <v>287</v>
      </c>
      <c r="S43" s="63"/>
    </row>
    <row r="44" customFormat="false" ht="36" hidden="false" customHeight="true" outlineLevel="0" collapsed="false">
      <c r="A44" s="46" t="n">
        <v>39</v>
      </c>
      <c r="B44" s="47" t="s">
        <v>288</v>
      </c>
      <c r="C44" s="46" t="s">
        <v>289</v>
      </c>
      <c r="D44" s="48" t="s">
        <v>290</v>
      </c>
      <c r="E44" s="49" t="s">
        <v>291</v>
      </c>
      <c r="F44" s="46" t="s">
        <v>64</v>
      </c>
      <c r="G44" s="50" t="e">
        <f aca="false">ROUND(12*$H$3,0)</f>
        <v>#VALUE!</v>
      </c>
      <c r="H44" s="51" t="e">
        <f aca="false">$C$3+G44</f>
        <v>#VALUE!</v>
      </c>
      <c r="I44" s="52"/>
      <c r="J44" s="53" t="n">
        <f aca="false">IF(I44="Complete",1,IF(I44="Skipped",1,IF(I44="Blocked",0.5,IF(I44="In Progress",0.25,0))))</f>
        <v>0</v>
      </c>
      <c r="K44" s="54"/>
      <c r="L44" s="55"/>
      <c r="M44" s="56"/>
      <c r="N44" s="57" t="str">
        <f aca="false">IF(M44="","",M44-H44)</f>
        <v/>
      </c>
      <c r="O44" s="58" t="str">
        <f aca="false">IF(M44="","",ABS(M44-H44)*24)</f>
        <v/>
      </c>
      <c r="P44" s="46"/>
      <c r="Q44" s="59" t="s">
        <v>292</v>
      </c>
      <c r="R44" s="59" t="s">
        <v>293</v>
      </c>
      <c r="S44" s="59" t="s">
        <v>294</v>
      </c>
    </row>
    <row r="45" customFormat="false" ht="36" hidden="false" customHeight="true" outlineLevel="0" collapsed="false">
      <c r="A45" s="23" t="n">
        <v>40</v>
      </c>
      <c r="B45" s="60" t="s">
        <v>288</v>
      </c>
      <c r="C45" s="23" t="s">
        <v>295</v>
      </c>
      <c r="D45" s="61" t="s">
        <v>296</v>
      </c>
      <c r="E45" s="62" t="s">
        <v>297</v>
      </c>
      <c r="F45" s="23" t="s">
        <v>64</v>
      </c>
      <c r="G45" s="26" t="e">
        <f aca="false">ROUND(12*$H$3,0)</f>
        <v>#VALUE!</v>
      </c>
      <c r="H45" s="25" t="e">
        <f aca="false">$C$3+G45</f>
        <v>#VALUE!</v>
      </c>
      <c r="I45" s="52"/>
      <c r="J45" s="53" t="n">
        <f aca="false">IF(I45="Complete",1,IF(I45="Skipped",1,IF(I45="Blocked",0.5,IF(I45="In Progress",0.25,0))))</f>
        <v>0</v>
      </c>
      <c r="K45" s="54"/>
      <c r="L45" s="55"/>
      <c r="M45" s="56"/>
      <c r="N45" s="57" t="str">
        <f aca="false">IF(M45="","",M45-H45)</f>
        <v/>
      </c>
      <c r="O45" s="58" t="str">
        <f aca="false">IF(M45="","",ABS(M45-H45)*24)</f>
        <v/>
      </c>
      <c r="P45" s="23"/>
      <c r="Q45" s="63" t="s">
        <v>298</v>
      </c>
      <c r="R45" s="63" t="s">
        <v>299</v>
      </c>
      <c r="S45" s="63" t="s">
        <v>300</v>
      </c>
    </row>
    <row r="46" customFormat="false" ht="36" hidden="false" customHeight="true" outlineLevel="0" collapsed="false">
      <c r="A46" s="11" t="n">
        <v>41</v>
      </c>
      <c r="B46" s="64" t="s">
        <v>288</v>
      </c>
      <c r="C46" s="11" t="s">
        <v>301</v>
      </c>
      <c r="D46" s="65" t="s">
        <v>302</v>
      </c>
      <c r="E46" s="66" t="s">
        <v>303</v>
      </c>
      <c r="F46" s="11" t="s">
        <v>114</v>
      </c>
      <c r="G46" s="17" t="e">
        <f aca="false">ROUND(12*$H$3,0)</f>
        <v>#VALUE!</v>
      </c>
      <c r="H46" s="16" t="e">
        <f aca="false">$C$3+G46</f>
        <v>#VALUE!</v>
      </c>
      <c r="I46" s="52"/>
      <c r="J46" s="53" t="n">
        <f aca="false">IF(I46="Complete",1,IF(I46="Skipped",1,IF(I46="Blocked",0.5,IF(I46="In Progress",0.25,0))))</f>
        <v>0</v>
      </c>
      <c r="K46" s="54"/>
      <c r="L46" s="55"/>
      <c r="M46" s="56"/>
      <c r="N46" s="57" t="str">
        <f aca="false">IF(M46="","",M46-H46)</f>
        <v/>
      </c>
      <c r="O46" s="58" t="str">
        <f aca="false">IF(M46="","",ABS(M46-H46)*24)</f>
        <v/>
      </c>
      <c r="P46" s="11"/>
      <c r="Q46" s="67" t="s">
        <v>304</v>
      </c>
      <c r="R46" s="67" t="s">
        <v>305</v>
      </c>
      <c r="S46" s="67" t="s">
        <v>306</v>
      </c>
    </row>
    <row r="47" customFormat="false" ht="36" hidden="false" customHeight="true" outlineLevel="0" collapsed="false">
      <c r="A47" s="23" t="n">
        <v>42</v>
      </c>
      <c r="B47" s="60" t="s">
        <v>288</v>
      </c>
      <c r="C47" s="23" t="s">
        <v>307</v>
      </c>
      <c r="D47" s="61" t="s">
        <v>308</v>
      </c>
      <c r="E47" s="62" t="s">
        <v>309</v>
      </c>
      <c r="F47" s="23" t="s">
        <v>64</v>
      </c>
      <c r="G47" s="26" t="e">
        <f aca="false">ROUND(13*$H$3,0)</f>
        <v>#VALUE!</v>
      </c>
      <c r="H47" s="25" t="e">
        <f aca="false">$C$3+G47</f>
        <v>#VALUE!</v>
      </c>
      <c r="I47" s="52"/>
      <c r="J47" s="53" t="n">
        <f aca="false">IF(I47="Complete",1,IF(I47="Skipped",1,IF(I47="Blocked",0.5,IF(I47="In Progress",0.25,0))))</f>
        <v>0</v>
      </c>
      <c r="K47" s="54"/>
      <c r="L47" s="55"/>
      <c r="M47" s="56"/>
      <c r="N47" s="57" t="str">
        <f aca="false">IF(M47="","",M47-H47)</f>
        <v/>
      </c>
      <c r="O47" s="58" t="str">
        <f aca="false">IF(M47="","",ABS(M47-H47)*24)</f>
        <v/>
      </c>
      <c r="P47" s="23"/>
      <c r="Q47" s="63" t="s">
        <v>310</v>
      </c>
      <c r="R47" s="63" t="s">
        <v>311</v>
      </c>
      <c r="S47" s="63" t="s">
        <v>312</v>
      </c>
    </row>
    <row r="48" customFormat="false" ht="36" hidden="false" customHeight="true" outlineLevel="0" collapsed="false">
      <c r="A48" s="11" t="n">
        <v>43</v>
      </c>
      <c r="B48" s="64" t="s">
        <v>288</v>
      </c>
      <c r="C48" s="11" t="s">
        <v>313</v>
      </c>
      <c r="D48" s="65" t="s">
        <v>314</v>
      </c>
      <c r="E48" s="66" t="s">
        <v>315</v>
      </c>
      <c r="F48" s="11" t="s">
        <v>214</v>
      </c>
      <c r="G48" s="17" t="e">
        <f aca="false">ROUND(13*$H$3,0)</f>
        <v>#VALUE!</v>
      </c>
      <c r="H48" s="16" t="e">
        <f aca="false">$C$3+G48</f>
        <v>#VALUE!</v>
      </c>
      <c r="I48" s="52"/>
      <c r="J48" s="53" t="n">
        <f aca="false">IF(I48="Complete",1,IF(I48="Skipped",1,IF(I48="Blocked",0.5,IF(I48="In Progress",0.25,0))))</f>
        <v>0</v>
      </c>
      <c r="K48" s="54"/>
      <c r="L48" s="55"/>
      <c r="M48" s="56"/>
      <c r="N48" s="57" t="str">
        <f aca="false">IF(M48="","",M48-H48)</f>
        <v/>
      </c>
      <c r="O48" s="58" t="str">
        <f aca="false">IF(M48="","",ABS(M48-H48)*24)</f>
        <v/>
      </c>
      <c r="P48" s="11"/>
      <c r="Q48" s="67" t="s">
        <v>316</v>
      </c>
      <c r="R48" s="67" t="s">
        <v>317</v>
      </c>
      <c r="S48" s="67" t="s">
        <v>318</v>
      </c>
    </row>
    <row r="49" customFormat="false" ht="36" hidden="false" customHeight="true" outlineLevel="0" collapsed="false">
      <c r="A49" s="23" t="n">
        <v>44</v>
      </c>
      <c r="B49" s="60" t="s">
        <v>288</v>
      </c>
      <c r="C49" s="23" t="s">
        <v>319</v>
      </c>
      <c r="D49" s="61" t="s">
        <v>320</v>
      </c>
      <c r="E49" s="62" t="s">
        <v>321</v>
      </c>
      <c r="F49" s="23" t="s">
        <v>64</v>
      </c>
      <c r="G49" s="26" t="e">
        <f aca="false">ROUND(14*$H$3,0)</f>
        <v>#VALUE!</v>
      </c>
      <c r="H49" s="25" t="e">
        <f aca="false">$C$3+G49</f>
        <v>#VALUE!</v>
      </c>
      <c r="I49" s="52"/>
      <c r="J49" s="53" t="n">
        <f aca="false">IF(I49="Complete",1,IF(I49="Skipped",1,IF(I49="Blocked",0.5,IF(I49="In Progress",0.25,0))))</f>
        <v>0</v>
      </c>
      <c r="K49" s="54"/>
      <c r="L49" s="55"/>
      <c r="M49" s="56"/>
      <c r="N49" s="57" t="str">
        <f aca="false">IF(M49="","",M49-H49)</f>
        <v/>
      </c>
      <c r="O49" s="58" t="str">
        <f aca="false">IF(M49="","",ABS(M49-H49)*24)</f>
        <v/>
      </c>
      <c r="P49" s="23"/>
      <c r="Q49" s="63" t="s">
        <v>322</v>
      </c>
      <c r="R49" s="63" t="s">
        <v>323</v>
      </c>
      <c r="S49" s="63" t="s">
        <v>324</v>
      </c>
    </row>
    <row r="50" customFormat="false" ht="36" hidden="false" customHeight="true" outlineLevel="0" collapsed="false">
      <c r="A50" s="11" t="n">
        <v>45</v>
      </c>
      <c r="B50" s="64" t="s">
        <v>288</v>
      </c>
      <c r="C50" s="11" t="s">
        <v>325</v>
      </c>
      <c r="D50" s="65" t="s">
        <v>326</v>
      </c>
      <c r="E50" s="66" t="s">
        <v>327</v>
      </c>
      <c r="F50" s="11" t="s">
        <v>64</v>
      </c>
      <c r="G50" s="17" t="e">
        <f aca="false">ROUND(14*$H$3,0)</f>
        <v>#VALUE!</v>
      </c>
      <c r="H50" s="16" t="e">
        <f aca="false">$C$3+G50</f>
        <v>#VALUE!</v>
      </c>
      <c r="I50" s="52"/>
      <c r="J50" s="53" t="n">
        <f aca="false">IF(I50="Complete",1,IF(I50="Skipped",1,IF(I50="Blocked",0.5,IF(I50="In Progress",0.25,0))))</f>
        <v>0</v>
      </c>
      <c r="K50" s="54"/>
      <c r="L50" s="55"/>
      <c r="M50" s="56"/>
      <c r="N50" s="57" t="str">
        <f aca="false">IF(M50="","",M50-H50)</f>
        <v/>
      </c>
      <c r="O50" s="58" t="str">
        <f aca="false">IF(M50="","",ABS(M50-H50)*24)</f>
        <v/>
      </c>
      <c r="P50" s="11"/>
      <c r="Q50" s="67" t="s">
        <v>328</v>
      </c>
      <c r="R50" s="67" t="s">
        <v>66</v>
      </c>
      <c r="S50" s="67" t="s">
        <v>329</v>
      </c>
    </row>
    <row r="51" customFormat="false" ht="36" hidden="false" customHeight="true" outlineLevel="0" collapsed="false">
      <c r="A51" s="23" t="n">
        <v>46</v>
      </c>
      <c r="B51" s="60" t="s">
        <v>288</v>
      </c>
      <c r="C51" s="23" t="s">
        <v>330</v>
      </c>
      <c r="D51" s="61" t="s">
        <v>331</v>
      </c>
      <c r="E51" s="62" t="s">
        <v>332</v>
      </c>
      <c r="F51" s="23" t="s">
        <v>114</v>
      </c>
      <c r="G51" s="26" t="e">
        <f aca="false">ROUND(14*$H$3,0)</f>
        <v>#VALUE!</v>
      </c>
      <c r="H51" s="25" t="e">
        <f aca="false">$C$3+G51</f>
        <v>#VALUE!</v>
      </c>
      <c r="I51" s="52"/>
      <c r="J51" s="53" t="n">
        <f aca="false">IF(I51="Complete",1,IF(I51="Skipped",1,IF(I51="Blocked",0.5,IF(I51="In Progress",0.25,0))))</f>
        <v>0</v>
      </c>
      <c r="K51" s="54"/>
      <c r="L51" s="55"/>
      <c r="M51" s="56"/>
      <c r="N51" s="57" t="str">
        <f aca="false">IF(M51="","",M51-H51)</f>
        <v/>
      </c>
      <c r="O51" s="58" t="str">
        <f aca="false">IF(M51="","",ABS(M51-H51)*24)</f>
        <v/>
      </c>
      <c r="P51" s="23"/>
      <c r="Q51" s="63" t="s">
        <v>333</v>
      </c>
      <c r="R51" s="63" t="s">
        <v>116</v>
      </c>
      <c r="S51" s="63" t="s">
        <v>334</v>
      </c>
    </row>
    <row r="53" customFormat="false" ht="15" hidden="false" customHeight="true" outlineLevel="0" collapsed="false">
      <c r="A53" s="9" t="s">
        <v>335</v>
      </c>
      <c r="B53" s="9"/>
      <c r="C53" s="9"/>
      <c r="D53" s="9"/>
      <c r="E53" s="9"/>
      <c r="F53" s="9"/>
      <c r="G53" s="31"/>
      <c r="H53" s="31"/>
      <c r="I53" s="68" t="s">
        <v>336</v>
      </c>
      <c r="J53" s="69" t="n">
        <f aca="false">AVERAGE(J6:J51)</f>
        <v>0</v>
      </c>
      <c r="K53" s="31"/>
      <c r="L53" s="68" t="s">
        <v>337</v>
      </c>
      <c r="M53" s="9" t="n">
        <f aca="false">SUMPRODUCT((M6:M51&lt;&gt;"")*1)</f>
        <v>0</v>
      </c>
      <c r="N53" s="31"/>
      <c r="O53" s="33" t="n">
        <f aca="false">SUM(O6:O51)</f>
        <v>0</v>
      </c>
      <c r="P53" s="31"/>
      <c r="Q53" s="31"/>
      <c r="R53" s="31"/>
      <c r="S53" s="31"/>
    </row>
    <row r="54" customFormat="false" ht="15" hidden="false" customHeight="false" outlineLevel="0" collapsed="false">
      <c r="M54" s="70" t="s">
        <v>338</v>
      </c>
      <c r="N54" s="71" t="str">
        <f aca="false">IFERROR(AVERAGE(N6:N51),"")</f>
        <v/>
      </c>
    </row>
    <row r="55" customFormat="false" ht="15" hidden="false" customHeight="false" outlineLevel="0" collapsed="false">
      <c r="M55" s="70" t="s">
        <v>339</v>
      </c>
      <c r="N55" s="72" t="n">
        <f aca="false">IFERROR(MAX(N6:N51),"")</f>
        <v>0</v>
      </c>
    </row>
  </sheetData>
  <autoFilter ref="A5:S5"/>
  <mergeCells count="5">
    <mergeCell ref="A1:S1"/>
    <mergeCell ref="A3:B3"/>
    <mergeCell ref="E3:F3"/>
    <mergeCell ref="I3:J3"/>
    <mergeCell ref="A53:F53"/>
  </mergeCells>
  <conditionalFormatting sqref="I6:I51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0">
      <formula>"Skipped"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2">
      <formula>"In Progress"</formula>
    </cfRule>
  </conditionalFormatting>
  <conditionalFormatting sqref="J6:J51">
    <cfRule type="expression" priority="6" aboveAverage="0" equalAverage="0" bottom="0" percent="0" rank="0" text="" dxfId="14">
      <formula>$J6=1</formula>
    </cfRule>
    <cfRule type="expression" priority="7" aboveAverage="0" equalAverage="0" bottom="0" percent="0" rank="0" text="" dxfId="15">
      <formula>$J6&gt;=0.5</formula>
    </cfRule>
    <cfRule type="expression" priority="8" aboveAverage="0" equalAverage="0" bottom="0" percent="0" rank="0" text="" dxfId="16">
      <formula>$J6&gt;=0.25</formula>
    </cfRule>
  </conditionalFormatting>
  <conditionalFormatting sqref="K6:K51">
    <cfRule type="expression" priority="9" aboveAverage="0" equalAverage="0" bottom="0" percent="0" rank="0" text="" dxfId="17">
      <formula>AND($I6="Complete",$K6="")</formula>
    </cfRule>
    <cfRule type="expression" priority="10" aboveAverage="0" equalAverage="0" bottom="0" percent="0" rank="0" text="" dxfId="14">
      <formula>AND(OR($I6="Complete",$I6="Skipped"),$K6&lt;&gt;"")</formula>
    </cfRule>
  </conditionalFormatting>
  <conditionalFormatting sqref="L6:L51">
    <cfRule type="expression" priority="11" aboveAverage="0" equalAverage="0" bottom="0" percent="0" rank="0" text="" dxfId="17">
      <formula>AND($I6="Complete",$L6="")</formula>
    </cfRule>
    <cfRule type="expression" priority="12" aboveAverage="0" equalAverage="0" bottom="0" percent="0" rank="0" text="" dxfId="18">
      <formula>AND($I6="In Progress",$L6="")</formula>
    </cfRule>
  </conditionalFormatting>
  <conditionalFormatting sqref="M6:M51">
    <cfRule type="expression" priority="13" aboveAverage="0" equalAverage="0" bottom="0" percent="0" rank="0" text="" dxfId="17">
      <formula>AND($I6="Complete",$M6="")</formula>
    </cfRule>
    <cfRule type="expression" priority="14" aboveAverage="0" equalAverage="0" bottom="0" percent="0" rank="0" text="" dxfId="14">
      <formula>AND($I6="Complete",$M6&lt;&gt;"")</formula>
    </cfRule>
  </conditionalFormatting>
  <conditionalFormatting sqref="A6:S51">
    <cfRule type="expression" priority="15" aboveAverage="0" equalAverage="0" bottom="0" percent="0" rank="0" text="" dxfId="19">
      <formula>AND($M6&lt;&gt;"",$N6&gt;=5)</formula>
    </cfRule>
    <cfRule type="expression" priority="16" aboveAverage="0" equalAverage="0" bottom="0" percent="0" rank="0" text="" dxfId="19">
      <formula>AND($M6&lt;&gt;"",$N6&gt;=4)</formula>
    </cfRule>
    <cfRule type="expression" priority="17" aboveAverage="0" equalAverage="0" bottom="0" percent="0" rank="0" text="" dxfId="20">
      <formula>AND($M6&lt;&gt;"",$N6&gt;=3)</formula>
    </cfRule>
    <cfRule type="expression" priority="18" aboveAverage="0" equalAverage="0" bottom="0" percent="0" rank="0" text="" dxfId="20">
      <formula>AND($M6&lt;&gt;"",$N6&gt;=2)</formula>
    </cfRule>
    <cfRule type="expression" priority="19" aboveAverage="0" equalAverage="0" bottom="0" percent="0" rank="0" text="" dxfId="21">
      <formula>AND($M6&lt;&gt;"",$N6&gt;=1)</formula>
    </cfRule>
    <cfRule type="expression" priority="20" aboveAverage="0" equalAverage="0" bottom="0" percent="0" rank="0" text="" dxfId="22">
      <formula>AND($M6&lt;&gt;"",$N6&lt;=0)</formula>
    </cfRule>
  </conditionalFormatting>
  <conditionalFormatting sqref="N6:N51">
    <cfRule type="expression" priority="21" aboveAverage="0" equalAverage="0" bottom="0" percent="0" rank="0" text="" dxfId="23">
      <formula>AND($M6&lt;&gt;"",$N6&gt;=5)</formula>
    </cfRule>
    <cfRule type="expression" priority="22" aboveAverage="0" equalAverage="0" bottom="0" percent="0" rank="0" text="" dxfId="24">
      <formula>AND($M6&lt;&gt;"",$N6&gt;=3)</formula>
    </cfRule>
    <cfRule type="expression" priority="23" aboveAverage="0" equalAverage="0" bottom="0" percent="0" rank="0" text="" dxfId="25">
      <formula>AND($M6&lt;&gt;"",$N6&gt;=1)</formula>
    </cfRule>
    <cfRule type="expression" priority="24" aboveAverage="0" equalAverage="0" bottom="0" percent="0" rank="0" text="" dxfId="26">
      <formula>AND($M6&lt;&gt;"",$N6&lt;=0)</formula>
    </cfRule>
  </conditionalFormatting>
  <dataValidations count="3">
    <dataValidation allowBlank="true" errorStyle="stop" operator="between" prompt="Complete needs: sign-off name + report link + completed date" promptTitle="Status" showDropDown="false" showErrorMessage="false" showInputMessage="true" sqref="I6:I51" type="list">
      <formula1>"Not Started,In Progress,Blocked,Complete,Skipped"</formula1>
      <formula2>0</formula2>
    </dataValidation>
    <dataValidation allowBlank="true" errorStyle="stop" operator="between" prompt="Select team member" promptTitle="Sign Off" showDropDown="false" showErrorMessage="false" showInputMessage="true" sqref="K6:K51" type="list">
      <formula1>TeamMembers</formula1>
      <formula2>0</formula2>
    </dataValidation>
    <dataValidation allowBlank="true" error="Enter a valid date (YYYY-MM-DD)" errorStyle="stop" errorTitle="Invalid Date" operator="greaterThan" prompt="Type the completion date (YYYY-MM-DD)" promptTitle="Completed Date" showDropDown="false" showErrorMessage="true" showInputMessage="true" sqref="M6:M51" type="date">
      <formula1>2020-1-1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tru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4" min="14" style="0" width="7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46"/>
    <col collapsed="false" customWidth="true" hidden="false" outlineLevel="0" max="19" min="18" style="0" width="38"/>
  </cols>
  <sheetData>
    <row r="1" customFormat="false" ht="17.35" hidden="false" customHeight="false" outlineLevel="0" collapsed="false">
      <c r="A1" s="1" t="str">
        <f aca="false">IF(Config!B19&lt;&gt;"",Config!B19&amp;" — DNS, Certificate &amp; SSO Migration Runbook","Project 14 — Assign name on Config sheet")</f>
        <v>Project 14 — Assign name on Config sheet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27.75" hidden="false" customHeight="true" outlineLevel="0" collapsed="false">
      <c r="A3" s="35" t="s">
        <v>40</v>
      </c>
      <c r="B3" s="35"/>
      <c r="C3" s="36" t="n">
        <f aca="false">Config!C19</f>
        <v>0</v>
      </c>
      <c r="D3" s="35" t="s">
        <v>41</v>
      </c>
      <c r="E3" s="37" t="n">
        <f aca="false">Config!D19</f>
        <v>0</v>
      </c>
      <c r="F3" s="37"/>
      <c r="G3" s="35" t="s">
        <v>42</v>
      </c>
      <c r="H3" s="38" t="str">
        <f aca="false">Config!E19</f>
        <v/>
      </c>
      <c r="I3" s="35" t="s">
        <v>43</v>
      </c>
      <c r="J3" s="35"/>
      <c r="K3" s="36" t="str">
        <f aca="false">Config!F19</f>
        <v/>
      </c>
      <c r="L3" s="35" t="s">
        <v>44</v>
      </c>
      <c r="M3" s="39" t="str">
        <f aca="false">Config!G19</f>
        <v/>
      </c>
      <c r="N3" s="40"/>
      <c r="O3" s="40"/>
      <c r="P3" s="40"/>
      <c r="Q3" s="40"/>
      <c r="R3" s="40"/>
      <c r="S3" s="40"/>
    </row>
    <row r="5" customFormat="false" ht="35.05" hidden="false" customHeight="false" outlineLevel="0" collapsed="false">
      <c r="A5" s="9" t="s">
        <v>10</v>
      </c>
      <c r="B5" s="9" t="s">
        <v>45</v>
      </c>
      <c r="C5" s="9" t="s">
        <v>46</v>
      </c>
      <c r="D5" s="9" t="s">
        <v>47</v>
      </c>
      <c r="E5" s="9" t="s">
        <v>48</v>
      </c>
      <c r="F5" s="9" t="s">
        <v>49</v>
      </c>
      <c r="G5" s="9" t="s">
        <v>50</v>
      </c>
      <c r="H5" s="9" t="s">
        <v>51</v>
      </c>
      <c r="I5" s="41" t="s">
        <v>20</v>
      </c>
      <c r="J5" s="42" t="s">
        <v>17</v>
      </c>
      <c r="K5" s="43" t="s">
        <v>52</v>
      </c>
      <c r="L5" s="44" t="s">
        <v>53</v>
      </c>
      <c r="M5" s="45" t="s">
        <v>18</v>
      </c>
      <c r="N5" s="9" t="s">
        <v>54</v>
      </c>
      <c r="O5" s="9" t="s">
        <v>55</v>
      </c>
      <c r="P5" s="9" t="s">
        <v>56</v>
      </c>
      <c r="Q5" s="9" t="s">
        <v>57</v>
      </c>
      <c r="R5" s="9" t="s">
        <v>58</v>
      </c>
      <c r="S5" s="9" t="s">
        <v>59</v>
      </c>
    </row>
    <row r="6" customFormat="false" ht="36" hidden="false" customHeight="true" outlineLevel="0" collapsed="false">
      <c r="A6" s="46" t="n">
        <v>1</v>
      </c>
      <c r="B6" s="47" t="s">
        <v>60</v>
      </c>
      <c r="C6" s="46" t="s">
        <v>61</v>
      </c>
      <c r="D6" s="48" t="s">
        <v>62</v>
      </c>
      <c r="E6" s="49" t="s">
        <v>63</v>
      </c>
      <c r="F6" s="46" t="s">
        <v>64</v>
      </c>
      <c r="G6" s="50" t="e">
        <f aca="false">ROUND(0*$H$3,0)</f>
        <v>#VALUE!</v>
      </c>
      <c r="H6" s="51" t="e">
        <f aca="false">$C$3+G6</f>
        <v>#VALUE!</v>
      </c>
      <c r="I6" s="52"/>
      <c r="J6" s="53" t="n">
        <f aca="false">IF(I6="Complete",1,IF(I6="Skipped",1,IF(I6="Blocked",0.5,IF(I6="In Progress",0.25,0))))</f>
        <v>0</v>
      </c>
      <c r="K6" s="54"/>
      <c r="L6" s="55"/>
      <c r="M6" s="56"/>
      <c r="N6" s="57" t="str">
        <f aca="false">IF(M6="","",M6-H6)</f>
        <v/>
      </c>
      <c r="O6" s="58" t="str">
        <f aca="false">IF(M6="","",ABS(M6-H6)*24)</f>
        <v/>
      </c>
      <c r="P6" s="46"/>
      <c r="Q6" s="59" t="s">
        <v>65</v>
      </c>
      <c r="R6" s="59" t="s">
        <v>66</v>
      </c>
      <c r="S6" s="59" t="s">
        <v>67</v>
      </c>
    </row>
    <row r="7" customFormat="false" ht="36" hidden="false" customHeight="true" outlineLevel="0" collapsed="false">
      <c r="A7" s="23" t="n">
        <v>2</v>
      </c>
      <c r="B7" s="60" t="s">
        <v>60</v>
      </c>
      <c r="C7" s="23" t="s">
        <v>68</v>
      </c>
      <c r="D7" s="61" t="s">
        <v>69</v>
      </c>
      <c r="E7" s="62" t="s">
        <v>70</v>
      </c>
      <c r="F7" s="23" t="s">
        <v>64</v>
      </c>
      <c r="G7" s="26" t="e">
        <f aca="false">ROUND(0*$H$3,0)</f>
        <v>#VALUE!</v>
      </c>
      <c r="H7" s="25" t="e">
        <f aca="false">$C$3+G7</f>
        <v>#VALUE!</v>
      </c>
      <c r="I7" s="52"/>
      <c r="J7" s="53" t="n">
        <f aca="false">IF(I7="Complete",1,IF(I7="Skipped",1,IF(I7="Blocked",0.5,IF(I7="In Progress",0.25,0))))</f>
        <v>0</v>
      </c>
      <c r="K7" s="54"/>
      <c r="L7" s="55"/>
      <c r="M7" s="56"/>
      <c r="N7" s="57" t="str">
        <f aca="false">IF(M7="","",M7-H7)</f>
        <v/>
      </c>
      <c r="O7" s="58" t="str">
        <f aca="false">IF(M7="","",ABS(M7-H7)*24)</f>
        <v/>
      </c>
      <c r="P7" s="23"/>
      <c r="Q7" s="63" t="s">
        <v>71</v>
      </c>
      <c r="R7" s="63" t="s">
        <v>66</v>
      </c>
      <c r="S7" s="63" t="s">
        <v>72</v>
      </c>
    </row>
    <row r="8" customFormat="false" ht="36" hidden="false" customHeight="true" outlineLevel="0" collapsed="false">
      <c r="A8" s="11" t="n">
        <v>3</v>
      </c>
      <c r="B8" s="64" t="s">
        <v>60</v>
      </c>
      <c r="C8" s="11" t="s">
        <v>73</v>
      </c>
      <c r="D8" s="65" t="s">
        <v>74</v>
      </c>
      <c r="E8" s="66" t="s">
        <v>75</v>
      </c>
      <c r="F8" s="11" t="s">
        <v>64</v>
      </c>
      <c r="G8" s="17" t="e">
        <f aca="false">ROUND(0*$H$3,0)</f>
        <v>#VALUE!</v>
      </c>
      <c r="H8" s="16" t="e">
        <f aca="false">$C$3+G8</f>
        <v>#VALUE!</v>
      </c>
      <c r="I8" s="52"/>
      <c r="J8" s="53" t="n">
        <f aca="false">IF(I8="Complete",1,IF(I8="Skipped",1,IF(I8="Blocked",0.5,IF(I8="In Progress",0.25,0))))</f>
        <v>0</v>
      </c>
      <c r="K8" s="54"/>
      <c r="L8" s="55"/>
      <c r="M8" s="56"/>
      <c r="N8" s="57" t="str">
        <f aca="false">IF(M8="","",M8-H8)</f>
        <v/>
      </c>
      <c r="O8" s="58" t="str">
        <f aca="false">IF(M8="","",ABS(M8-H8)*24)</f>
        <v/>
      </c>
      <c r="P8" s="11"/>
      <c r="Q8" s="67" t="s">
        <v>76</v>
      </c>
      <c r="R8" s="67" t="s">
        <v>66</v>
      </c>
      <c r="S8" s="67" t="s">
        <v>77</v>
      </c>
    </row>
    <row r="9" customFormat="false" ht="36" hidden="false" customHeight="true" outlineLevel="0" collapsed="false">
      <c r="A9" s="23" t="n">
        <v>4</v>
      </c>
      <c r="B9" s="60" t="s">
        <v>60</v>
      </c>
      <c r="C9" s="23" t="s">
        <v>78</v>
      </c>
      <c r="D9" s="61" t="s">
        <v>79</v>
      </c>
      <c r="E9" s="62" t="s">
        <v>80</v>
      </c>
      <c r="F9" s="23" t="s">
        <v>64</v>
      </c>
      <c r="G9" s="26" t="e">
        <f aca="false">ROUND(1*$H$3,0)</f>
        <v>#VALUE!</v>
      </c>
      <c r="H9" s="25" t="e">
        <f aca="false">$C$3+G9</f>
        <v>#VALUE!</v>
      </c>
      <c r="I9" s="52"/>
      <c r="J9" s="53" t="n">
        <f aca="false">IF(I9="Complete",1,IF(I9="Skipped",1,IF(I9="Blocked",0.5,IF(I9="In Progress",0.25,0))))</f>
        <v>0</v>
      </c>
      <c r="K9" s="54"/>
      <c r="L9" s="55"/>
      <c r="M9" s="56"/>
      <c r="N9" s="57" t="str">
        <f aca="false">IF(M9="","",M9-H9)</f>
        <v/>
      </c>
      <c r="O9" s="58" t="str">
        <f aca="false">IF(M9="","",ABS(M9-H9)*24)</f>
        <v/>
      </c>
      <c r="P9" s="23"/>
      <c r="Q9" s="63" t="s">
        <v>81</v>
      </c>
      <c r="R9" s="63" t="s">
        <v>66</v>
      </c>
      <c r="S9" s="63" t="s">
        <v>82</v>
      </c>
    </row>
    <row r="10" customFormat="false" ht="36" hidden="false" customHeight="true" outlineLevel="0" collapsed="false">
      <c r="A10" s="11" t="n">
        <v>5</v>
      </c>
      <c r="B10" s="64" t="s">
        <v>60</v>
      </c>
      <c r="C10" s="11" t="s">
        <v>83</v>
      </c>
      <c r="D10" s="65" t="s">
        <v>84</v>
      </c>
      <c r="E10" s="66" t="s">
        <v>85</v>
      </c>
      <c r="F10" s="11" t="s">
        <v>64</v>
      </c>
      <c r="G10" s="17" t="e">
        <f aca="false">ROUND(1*$H$3,0)</f>
        <v>#VALUE!</v>
      </c>
      <c r="H10" s="16" t="e">
        <f aca="false">$C$3+G10</f>
        <v>#VALUE!</v>
      </c>
      <c r="I10" s="52"/>
      <c r="J10" s="53" t="n">
        <f aca="false">IF(I10="Complete",1,IF(I10="Skipped",1,IF(I10="Blocked",0.5,IF(I10="In Progress",0.25,0))))</f>
        <v>0</v>
      </c>
      <c r="K10" s="54"/>
      <c r="L10" s="55"/>
      <c r="M10" s="56"/>
      <c r="N10" s="57" t="str">
        <f aca="false">IF(M10="","",M10-H10)</f>
        <v/>
      </c>
      <c r="O10" s="58" t="str">
        <f aca="false">IF(M10="","",ABS(M10-H10)*24)</f>
        <v/>
      </c>
      <c r="P10" s="11"/>
      <c r="Q10" s="67" t="s">
        <v>86</v>
      </c>
      <c r="R10" s="67" t="s">
        <v>66</v>
      </c>
      <c r="S10" s="67" t="s">
        <v>87</v>
      </c>
    </row>
    <row r="11" customFormat="false" ht="36" hidden="false" customHeight="true" outlineLevel="0" collapsed="false">
      <c r="A11" s="23" t="n">
        <v>6</v>
      </c>
      <c r="B11" s="60" t="s">
        <v>60</v>
      </c>
      <c r="C11" s="23" t="s">
        <v>88</v>
      </c>
      <c r="D11" s="61" t="s">
        <v>89</v>
      </c>
      <c r="E11" s="62" t="s">
        <v>90</v>
      </c>
      <c r="F11" s="23" t="s">
        <v>64</v>
      </c>
      <c r="G11" s="26" t="e">
        <f aca="false">ROUND(1*$H$3,0)</f>
        <v>#VALUE!</v>
      </c>
      <c r="H11" s="25" t="e">
        <f aca="false">$C$3+G11</f>
        <v>#VALUE!</v>
      </c>
      <c r="I11" s="52"/>
      <c r="J11" s="53" t="n">
        <f aca="false">IF(I11="Complete",1,IF(I11="Skipped",1,IF(I11="Blocked",0.5,IF(I11="In Progress",0.25,0))))</f>
        <v>0</v>
      </c>
      <c r="K11" s="54"/>
      <c r="L11" s="55"/>
      <c r="M11" s="56"/>
      <c r="N11" s="57" t="str">
        <f aca="false">IF(M11="","",M11-H11)</f>
        <v/>
      </c>
      <c r="O11" s="58" t="str">
        <f aca="false">IF(M11="","",ABS(M11-H11)*24)</f>
        <v/>
      </c>
      <c r="P11" s="23"/>
      <c r="Q11" s="63" t="s">
        <v>91</v>
      </c>
      <c r="R11" s="63" t="s">
        <v>66</v>
      </c>
      <c r="S11" s="63" t="s">
        <v>92</v>
      </c>
    </row>
    <row r="12" customFormat="false" ht="36" hidden="false" customHeight="true" outlineLevel="0" collapsed="false">
      <c r="A12" s="11" t="n">
        <v>7</v>
      </c>
      <c r="B12" s="64" t="s">
        <v>60</v>
      </c>
      <c r="C12" s="11" t="s">
        <v>93</v>
      </c>
      <c r="D12" s="65" t="s">
        <v>94</v>
      </c>
      <c r="E12" s="66" t="s">
        <v>95</v>
      </c>
      <c r="F12" s="11" t="s">
        <v>96</v>
      </c>
      <c r="G12" s="17" t="e">
        <f aca="false">ROUND(1*$H$3,0)</f>
        <v>#VALUE!</v>
      </c>
      <c r="H12" s="16" t="e">
        <f aca="false">$C$3+G12</f>
        <v>#VALUE!</v>
      </c>
      <c r="I12" s="52"/>
      <c r="J12" s="53" t="n">
        <f aca="false">IF(I12="Complete",1,IF(I12="Skipped",1,IF(I12="Blocked",0.5,IF(I12="In Progress",0.25,0))))</f>
        <v>0</v>
      </c>
      <c r="K12" s="54"/>
      <c r="L12" s="55"/>
      <c r="M12" s="56"/>
      <c r="N12" s="57" t="str">
        <f aca="false">IF(M12="","",M12-H12)</f>
        <v/>
      </c>
      <c r="O12" s="58" t="str">
        <f aca="false">IF(M12="","",ABS(M12-H12)*24)</f>
        <v/>
      </c>
      <c r="P12" s="11"/>
      <c r="Q12" s="67" t="s">
        <v>97</v>
      </c>
      <c r="R12" s="67" t="s">
        <v>66</v>
      </c>
      <c r="S12" s="67" t="s">
        <v>98</v>
      </c>
    </row>
    <row r="13" customFormat="false" ht="36" hidden="false" customHeight="true" outlineLevel="0" collapsed="false">
      <c r="A13" s="23" t="n">
        <v>8</v>
      </c>
      <c r="B13" s="60" t="s">
        <v>60</v>
      </c>
      <c r="C13" s="23" t="s">
        <v>99</v>
      </c>
      <c r="D13" s="61" t="s">
        <v>100</v>
      </c>
      <c r="E13" s="62" t="s">
        <v>101</v>
      </c>
      <c r="F13" s="23" t="s">
        <v>64</v>
      </c>
      <c r="G13" s="26" t="e">
        <f aca="false">ROUND(1*$H$3,0)</f>
        <v>#VALUE!</v>
      </c>
      <c r="H13" s="25" t="e">
        <f aca="false">$C$3+G13</f>
        <v>#VALUE!</v>
      </c>
      <c r="I13" s="52"/>
      <c r="J13" s="53" t="n">
        <f aca="false">IF(I13="Complete",1,IF(I13="Skipped",1,IF(I13="Blocked",0.5,IF(I13="In Progress",0.25,0))))</f>
        <v>0</v>
      </c>
      <c r="K13" s="54"/>
      <c r="L13" s="55"/>
      <c r="M13" s="56"/>
      <c r="N13" s="57" t="str">
        <f aca="false">IF(M13="","",M13-H13)</f>
        <v/>
      </c>
      <c r="O13" s="58" t="str">
        <f aca="false">IF(M13="","",ABS(M13-H13)*24)</f>
        <v/>
      </c>
      <c r="P13" s="23"/>
      <c r="Q13" s="63" t="s">
        <v>102</v>
      </c>
      <c r="R13" s="63" t="s">
        <v>103</v>
      </c>
      <c r="S13" s="63" t="s">
        <v>104</v>
      </c>
    </row>
    <row r="14" customFormat="false" ht="36" hidden="false" customHeight="true" outlineLevel="0" collapsed="false">
      <c r="A14" s="11" t="n">
        <v>9</v>
      </c>
      <c r="B14" s="64" t="s">
        <v>60</v>
      </c>
      <c r="C14" s="11" t="s">
        <v>105</v>
      </c>
      <c r="D14" s="65" t="s">
        <v>106</v>
      </c>
      <c r="E14" s="66" t="s">
        <v>107</v>
      </c>
      <c r="F14" s="11" t="s">
        <v>64</v>
      </c>
      <c r="G14" s="17" t="e">
        <f aca="false">ROUND(2*$H$3,0)</f>
        <v>#VALUE!</v>
      </c>
      <c r="H14" s="16" t="e">
        <f aca="false">$C$3+G14</f>
        <v>#VALUE!</v>
      </c>
      <c r="I14" s="52"/>
      <c r="J14" s="53" t="n">
        <f aca="false">IF(I14="Complete",1,IF(I14="Skipped",1,IF(I14="Blocked",0.5,IF(I14="In Progress",0.25,0))))</f>
        <v>0</v>
      </c>
      <c r="K14" s="54"/>
      <c r="L14" s="55"/>
      <c r="M14" s="56"/>
      <c r="N14" s="57" t="str">
        <f aca="false">IF(M14="","",M14-H14)</f>
        <v/>
      </c>
      <c r="O14" s="58" t="str">
        <f aca="false">IF(M14="","",ABS(M14-H14)*24)</f>
        <v/>
      </c>
      <c r="P14" s="11"/>
      <c r="Q14" s="67" t="s">
        <v>108</v>
      </c>
      <c r="R14" s="67" t="s">
        <v>109</v>
      </c>
      <c r="S14" s="67" t="s">
        <v>110</v>
      </c>
    </row>
    <row r="15" customFormat="false" ht="36" hidden="false" customHeight="true" outlineLevel="0" collapsed="false">
      <c r="A15" s="23" t="n">
        <v>10</v>
      </c>
      <c r="B15" s="60" t="s">
        <v>60</v>
      </c>
      <c r="C15" s="23" t="s">
        <v>111</v>
      </c>
      <c r="D15" s="61" t="s">
        <v>112</v>
      </c>
      <c r="E15" s="62" t="s">
        <v>113</v>
      </c>
      <c r="F15" s="23" t="s">
        <v>114</v>
      </c>
      <c r="G15" s="26" t="e">
        <f aca="false">ROUND(2*$H$3,0)</f>
        <v>#VALUE!</v>
      </c>
      <c r="H15" s="25" t="e">
        <f aca="false">$C$3+G15</f>
        <v>#VALUE!</v>
      </c>
      <c r="I15" s="52"/>
      <c r="J15" s="53" t="n">
        <f aca="false">IF(I15="Complete",1,IF(I15="Skipped",1,IF(I15="Blocked",0.5,IF(I15="In Progress",0.25,0))))</f>
        <v>0</v>
      </c>
      <c r="K15" s="54"/>
      <c r="L15" s="55"/>
      <c r="M15" s="56"/>
      <c r="N15" s="57" t="str">
        <f aca="false">IF(M15="","",M15-H15)</f>
        <v/>
      </c>
      <c r="O15" s="58" t="str">
        <f aca="false">IF(M15="","",ABS(M15-H15)*24)</f>
        <v/>
      </c>
      <c r="P15" s="23"/>
      <c r="Q15" s="63" t="s">
        <v>115</v>
      </c>
      <c r="R15" s="63" t="s">
        <v>116</v>
      </c>
      <c r="S15" s="63" t="s">
        <v>117</v>
      </c>
    </row>
    <row r="16" customFormat="false" ht="36" hidden="false" customHeight="true" outlineLevel="0" collapsed="false">
      <c r="A16" s="46" t="n">
        <v>11</v>
      </c>
      <c r="B16" s="47" t="s">
        <v>118</v>
      </c>
      <c r="C16" s="46" t="s">
        <v>119</v>
      </c>
      <c r="D16" s="48" t="s">
        <v>120</v>
      </c>
      <c r="E16" s="49" t="s">
        <v>121</v>
      </c>
      <c r="F16" s="46" t="s">
        <v>64</v>
      </c>
      <c r="G16" s="50" t="e">
        <f aca="false">ROUND(3*$H$3,0)</f>
        <v>#VALUE!</v>
      </c>
      <c r="H16" s="51" t="e">
        <f aca="false">$C$3+G16</f>
        <v>#VALUE!</v>
      </c>
      <c r="I16" s="52"/>
      <c r="J16" s="53" t="n">
        <f aca="false">IF(I16="Complete",1,IF(I16="Skipped",1,IF(I16="Blocked",0.5,IF(I16="In Progress",0.25,0))))</f>
        <v>0</v>
      </c>
      <c r="K16" s="54"/>
      <c r="L16" s="55"/>
      <c r="M16" s="56"/>
      <c r="N16" s="57" t="str">
        <f aca="false">IF(M16="","",M16-H16)</f>
        <v/>
      </c>
      <c r="O16" s="58" t="str">
        <f aca="false">IF(M16="","",ABS(M16-H16)*24)</f>
        <v/>
      </c>
      <c r="P16" s="46"/>
      <c r="Q16" s="59" t="s">
        <v>122</v>
      </c>
      <c r="R16" s="59" t="s">
        <v>123</v>
      </c>
      <c r="S16" s="59" t="s">
        <v>124</v>
      </c>
    </row>
    <row r="17" customFormat="false" ht="36" hidden="false" customHeight="true" outlineLevel="0" collapsed="false">
      <c r="A17" s="23" t="n">
        <v>12</v>
      </c>
      <c r="B17" s="60" t="s">
        <v>118</v>
      </c>
      <c r="C17" s="23" t="s">
        <v>125</v>
      </c>
      <c r="D17" s="61" t="s">
        <v>126</v>
      </c>
      <c r="E17" s="62" t="s">
        <v>127</v>
      </c>
      <c r="F17" s="23" t="s">
        <v>64</v>
      </c>
      <c r="G17" s="26" t="e">
        <f aca="false">ROUND(3*$H$3,0)</f>
        <v>#VALUE!</v>
      </c>
      <c r="H17" s="25" t="e">
        <f aca="false">$C$3+G17</f>
        <v>#VALUE!</v>
      </c>
      <c r="I17" s="52"/>
      <c r="J17" s="53" t="n">
        <f aca="false">IF(I17="Complete",1,IF(I17="Skipped",1,IF(I17="Blocked",0.5,IF(I17="In Progress",0.25,0))))</f>
        <v>0</v>
      </c>
      <c r="K17" s="54"/>
      <c r="L17" s="55"/>
      <c r="M17" s="56"/>
      <c r="N17" s="57" t="str">
        <f aca="false">IF(M17="","",M17-H17)</f>
        <v/>
      </c>
      <c r="O17" s="58" t="str">
        <f aca="false">IF(M17="","",ABS(M17-H17)*24)</f>
        <v/>
      </c>
      <c r="P17" s="23"/>
      <c r="Q17" s="63" t="s">
        <v>128</v>
      </c>
      <c r="R17" s="63" t="s">
        <v>129</v>
      </c>
      <c r="S17" s="63" t="s">
        <v>130</v>
      </c>
    </row>
    <row r="18" customFormat="false" ht="36" hidden="false" customHeight="true" outlineLevel="0" collapsed="false">
      <c r="A18" s="11" t="n">
        <v>13</v>
      </c>
      <c r="B18" s="64" t="s">
        <v>118</v>
      </c>
      <c r="C18" s="11" t="s">
        <v>131</v>
      </c>
      <c r="D18" s="65" t="s">
        <v>132</v>
      </c>
      <c r="E18" s="66" t="s">
        <v>133</v>
      </c>
      <c r="F18" s="11" t="s">
        <v>64</v>
      </c>
      <c r="G18" s="17" t="e">
        <f aca="false">ROUND(3*$H$3,0)</f>
        <v>#VALUE!</v>
      </c>
      <c r="H18" s="16" t="e">
        <f aca="false">$C$3+G18</f>
        <v>#VALUE!</v>
      </c>
      <c r="I18" s="52"/>
      <c r="J18" s="53" t="n">
        <f aca="false">IF(I18="Complete",1,IF(I18="Skipped",1,IF(I18="Blocked",0.5,IF(I18="In Progress",0.25,0))))</f>
        <v>0</v>
      </c>
      <c r="K18" s="54"/>
      <c r="L18" s="55"/>
      <c r="M18" s="56"/>
      <c r="N18" s="57" t="str">
        <f aca="false">IF(M18="","",M18-H18)</f>
        <v/>
      </c>
      <c r="O18" s="58" t="str">
        <f aca="false">IF(M18="","",ABS(M18-H18)*24)</f>
        <v/>
      </c>
      <c r="P18" s="11"/>
      <c r="Q18" s="67" t="s">
        <v>134</v>
      </c>
      <c r="R18" s="67" t="s">
        <v>135</v>
      </c>
      <c r="S18" s="67" t="s">
        <v>136</v>
      </c>
    </row>
    <row r="19" customFormat="false" ht="36" hidden="false" customHeight="true" outlineLevel="0" collapsed="false">
      <c r="A19" s="23" t="n">
        <v>14</v>
      </c>
      <c r="B19" s="60" t="s">
        <v>118</v>
      </c>
      <c r="C19" s="23" t="s">
        <v>137</v>
      </c>
      <c r="D19" s="61" t="s">
        <v>138</v>
      </c>
      <c r="E19" s="62" t="s">
        <v>139</v>
      </c>
      <c r="F19" s="23" t="s">
        <v>64</v>
      </c>
      <c r="G19" s="26" t="e">
        <f aca="false">ROUND(3*$H$3,0)</f>
        <v>#VALUE!</v>
      </c>
      <c r="H19" s="25" t="e">
        <f aca="false">$C$3+G19</f>
        <v>#VALUE!</v>
      </c>
      <c r="I19" s="52"/>
      <c r="J19" s="53" t="n">
        <f aca="false">IF(I19="Complete",1,IF(I19="Skipped",1,IF(I19="Blocked",0.5,IF(I19="In Progress",0.25,0))))</f>
        <v>0</v>
      </c>
      <c r="K19" s="54"/>
      <c r="L19" s="55"/>
      <c r="M19" s="56"/>
      <c r="N19" s="57" t="str">
        <f aca="false">IF(M19="","",M19-H19)</f>
        <v/>
      </c>
      <c r="O19" s="58" t="str">
        <f aca="false">IF(M19="","",ABS(M19-H19)*24)</f>
        <v/>
      </c>
      <c r="P19" s="23"/>
      <c r="Q19" s="63" t="s">
        <v>140</v>
      </c>
      <c r="R19" s="63" t="s">
        <v>141</v>
      </c>
      <c r="S19" s="63" t="s">
        <v>142</v>
      </c>
    </row>
    <row r="20" customFormat="false" ht="36" hidden="false" customHeight="true" outlineLevel="0" collapsed="false">
      <c r="A20" s="11" t="n">
        <v>15</v>
      </c>
      <c r="B20" s="64" t="s">
        <v>118</v>
      </c>
      <c r="C20" s="11" t="s">
        <v>143</v>
      </c>
      <c r="D20" s="65" t="s">
        <v>144</v>
      </c>
      <c r="E20" s="66" t="s">
        <v>145</v>
      </c>
      <c r="F20" s="11" t="s">
        <v>64</v>
      </c>
      <c r="G20" s="17" t="e">
        <f aca="false">ROUND(3*$H$3,0)</f>
        <v>#VALUE!</v>
      </c>
      <c r="H20" s="16" t="e">
        <f aca="false">$C$3+G20</f>
        <v>#VALUE!</v>
      </c>
      <c r="I20" s="52"/>
      <c r="J20" s="53" t="n">
        <f aca="false">IF(I20="Complete",1,IF(I20="Skipped",1,IF(I20="Blocked",0.5,IF(I20="In Progress",0.25,0))))</f>
        <v>0</v>
      </c>
      <c r="K20" s="54"/>
      <c r="L20" s="55"/>
      <c r="M20" s="56"/>
      <c r="N20" s="57" t="str">
        <f aca="false">IF(M20="","",M20-H20)</f>
        <v/>
      </c>
      <c r="O20" s="58" t="str">
        <f aca="false">IF(M20="","",ABS(M20-H20)*24)</f>
        <v/>
      </c>
      <c r="P20" s="11"/>
      <c r="Q20" s="67" t="s">
        <v>146</v>
      </c>
      <c r="R20" s="67" t="s">
        <v>147</v>
      </c>
      <c r="S20" s="67" t="s">
        <v>148</v>
      </c>
    </row>
    <row r="21" customFormat="false" ht="36" hidden="false" customHeight="true" outlineLevel="0" collapsed="false">
      <c r="A21" s="23" t="n">
        <v>16</v>
      </c>
      <c r="B21" s="60" t="s">
        <v>118</v>
      </c>
      <c r="C21" s="23" t="s">
        <v>149</v>
      </c>
      <c r="D21" s="61" t="s">
        <v>150</v>
      </c>
      <c r="E21" s="62" t="s">
        <v>151</v>
      </c>
      <c r="F21" s="23" t="s">
        <v>152</v>
      </c>
      <c r="G21" s="26" t="e">
        <f aca="false">ROUND(3*$H$3,0)</f>
        <v>#VALUE!</v>
      </c>
      <c r="H21" s="25" t="e">
        <f aca="false">$C$3+G21</f>
        <v>#VALUE!</v>
      </c>
      <c r="I21" s="52"/>
      <c r="J21" s="53" t="n">
        <f aca="false">IF(I21="Complete",1,IF(I21="Skipped",1,IF(I21="Blocked",0.5,IF(I21="In Progress",0.25,0))))</f>
        <v>0</v>
      </c>
      <c r="K21" s="54"/>
      <c r="L21" s="55"/>
      <c r="M21" s="56"/>
      <c r="N21" s="57" t="str">
        <f aca="false">IF(M21="","",M21-H21)</f>
        <v/>
      </c>
      <c r="O21" s="58" t="str">
        <f aca="false">IF(M21="","",ABS(M21-H21)*24)</f>
        <v/>
      </c>
      <c r="P21" s="23"/>
      <c r="Q21" s="63" t="s">
        <v>153</v>
      </c>
      <c r="R21" s="63" t="s">
        <v>154</v>
      </c>
      <c r="S21" s="63" t="s">
        <v>155</v>
      </c>
    </row>
    <row r="22" customFormat="false" ht="36" hidden="false" customHeight="true" outlineLevel="0" collapsed="false">
      <c r="A22" s="46" t="n">
        <v>17</v>
      </c>
      <c r="B22" s="47" t="s">
        <v>156</v>
      </c>
      <c r="C22" s="46" t="s">
        <v>157</v>
      </c>
      <c r="D22" s="48" t="s">
        <v>158</v>
      </c>
      <c r="E22" s="49" t="s">
        <v>159</v>
      </c>
      <c r="F22" s="46" t="s">
        <v>64</v>
      </c>
      <c r="G22" s="50" t="e">
        <f aca="false">ROUND(4*$H$3,0)</f>
        <v>#VALUE!</v>
      </c>
      <c r="H22" s="51" t="e">
        <f aca="false">$C$3+G22</f>
        <v>#VALUE!</v>
      </c>
      <c r="I22" s="52"/>
      <c r="J22" s="53" t="n">
        <f aca="false">IF(I22="Complete",1,IF(I22="Skipped",1,IF(I22="Blocked",0.5,IF(I22="In Progress",0.25,0))))</f>
        <v>0</v>
      </c>
      <c r="K22" s="54"/>
      <c r="L22" s="55"/>
      <c r="M22" s="56"/>
      <c r="N22" s="57" t="str">
        <f aca="false">IF(M22="","",M22-H22)</f>
        <v/>
      </c>
      <c r="O22" s="58" t="str">
        <f aca="false">IF(M22="","",ABS(M22-H22)*24)</f>
        <v/>
      </c>
      <c r="P22" s="46"/>
      <c r="Q22" s="59" t="s">
        <v>160</v>
      </c>
      <c r="R22" s="59" t="s">
        <v>161</v>
      </c>
      <c r="S22" s="59" t="s">
        <v>162</v>
      </c>
    </row>
    <row r="23" customFormat="false" ht="36" hidden="false" customHeight="true" outlineLevel="0" collapsed="false">
      <c r="A23" s="23" t="n">
        <v>18</v>
      </c>
      <c r="B23" s="60" t="s">
        <v>156</v>
      </c>
      <c r="C23" s="23" t="s">
        <v>163</v>
      </c>
      <c r="D23" s="61" t="s">
        <v>164</v>
      </c>
      <c r="E23" s="62" t="s">
        <v>165</v>
      </c>
      <c r="F23" s="23" t="s">
        <v>64</v>
      </c>
      <c r="G23" s="26" t="e">
        <f aca="false">ROUND(4*$H$3,0)</f>
        <v>#VALUE!</v>
      </c>
      <c r="H23" s="25" t="e">
        <f aca="false">$C$3+G23</f>
        <v>#VALUE!</v>
      </c>
      <c r="I23" s="52"/>
      <c r="J23" s="53" t="n">
        <f aca="false">IF(I23="Complete",1,IF(I23="Skipped",1,IF(I23="Blocked",0.5,IF(I23="In Progress",0.25,0))))</f>
        <v>0</v>
      </c>
      <c r="K23" s="54"/>
      <c r="L23" s="55"/>
      <c r="M23" s="56"/>
      <c r="N23" s="57" t="str">
        <f aca="false">IF(M23="","",M23-H23)</f>
        <v/>
      </c>
      <c r="O23" s="58" t="str">
        <f aca="false">IF(M23="","",ABS(M23-H23)*24)</f>
        <v/>
      </c>
      <c r="P23" s="23"/>
      <c r="Q23" s="63" t="s">
        <v>166</v>
      </c>
      <c r="R23" s="63" t="s">
        <v>167</v>
      </c>
      <c r="S23" s="63"/>
    </row>
    <row r="24" customFormat="false" ht="36" hidden="false" customHeight="true" outlineLevel="0" collapsed="false">
      <c r="A24" s="11" t="n">
        <v>19</v>
      </c>
      <c r="B24" s="64" t="s">
        <v>156</v>
      </c>
      <c r="C24" s="11" t="s">
        <v>168</v>
      </c>
      <c r="D24" s="65" t="s">
        <v>169</v>
      </c>
      <c r="E24" s="66" t="s">
        <v>170</v>
      </c>
      <c r="F24" s="11" t="s">
        <v>64</v>
      </c>
      <c r="G24" s="17" t="e">
        <f aca="false">ROUND(4*$H$3,0)</f>
        <v>#VALUE!</v>
      </c>
      <c r="H24" s="16" t="e">
        <f aca="false">$C$3+G24</f>
        <v>#VALUE!</v>
      </c>
      <c r="I24" s="52"/>
      <c r="J24" s="53" t="n">
        <f aca="false">IF(I24="Complete",1,IF(I24="Skipped",1,IF(I24="Blocked",0.5,IF(I24="In Progress",0.25,0))))</f>
        <v>0</v>
      </c>
      <c r="K24" s="54"/>
      <c r="L24" s="55"/>
      <c r="M24" s="56"/>
      <c r="N24" s="57" t="str">
        <f aca="false">IF(M24="","",M24-H24)</f>
        <v/>
      </c>
      <c r="O24" s="58" t="str">
        <f aca="false">IF(M24="","",ABS(M24-H24)*24)</f>
        <v/>
      </c>
      <c r="P24" s="11"/>
      <c r="Q24" s="67" t="s">
        <v>171</v>
      </c>
      <c r="R24" s="67" t="s">
        <v>172</v>
      </c>
      <c r="S24" s="67" t="s">
        <v>173</v>
      </c>
    </row>
    <row r="25" customFormat="false" ht="36" hidden="false" customHeight="true" outlineLevel="0" collapsed="false">
      <c r="A25" s="23" t="n">
        <v>20</v>
      </c>
      <c r="B25" s="60" t="s">
        <v>156</v>
      </c>
      <c r="C25" s="23" t="s">
        <v>174</v>
      </c>
      <c r="D25" s="61" t="s">
        <v>175</v>
      </c>
      <c r="E25" s="62" t="s">
        <v>176</v>
      </c>
      <c r="F25" s="23" t="s">
        <v>64</v>
      </c>
      <c r="G25" s="26" t="e">
        <f aca="false">ROUND(4*$H$3,0)</f>
        <v>#VALUE!</v>
      </c>
      <c r="H25" s="25" t="e">
        <f aca="false">$C$3+G25</f>
        <v>#VALUE!</v>
      </c>
      <c r="I25" s="52"/>
      <c r="J25" s="53" t="n">
        <f aca="false">IF(I25="Complete",1,IF(I25="Skipped",1,IF(I25="Blocked",0.5,IF(I25="In Progress",0.25,0))))</f>
        <v>0</v>
      </c>
      <c r="K25" s="54"/>
      <c r="L25" s="55"/>
      <c r="M25" s="56"/>
      <c r="N25" s="57" t="str">
        <f aca="false">IF(M25="","",M25-H25)</f>
        <v/>
      </c>
      <c r="O25" s="58" t="str">
        <f aca="false">IF(M25="","",ABS(M25-H25)*24)</f>
        <v/>
      </c>
      <c r="P25" s="23"/>
      <c r="Q25" s="63" t="s">
        <v>177</v>
      </c>
      <c r="R25" s="63" t="s">
        <v>178</v>
      </c>
      <c r="S25" s="63" t="s">
        <v>179</v>
      </c>
    </row>
    <row r="26" customFormat="false" ht="36" hidden="false" customHeight="true" outlineLevel="0" collapsed="false">
      <c r="A26" s="11" t="n">
        <v>21</v>
      </c>
      <c r="B26" s="64" t="s">
        <v>156</v>
      </c>
      <c r="C26" s="11" t="s">
        <v>180</v>
      </c>
      <c r="D26" s="65" t="s">
        <v>181</v>
      </c>
      <c r="E26" s="66" t="s">
        <v>182</v>
      </c>
      <c r="F26" s="11" t="s">
        <v>64</v>
      </c>
      <c r="G26" s="17" t="e">
        <f aca="false">ROUND(4*$H$3,0)</f>
        <v>#VALUE!</v>
      </c>
      <c r="H26" s="16" t="e">
        <f aca="false">$C$3+G26</f>
        <v>#VALUE!</v>
      </c>
      <c r="I26" s="52"/>
      <c r="J26" s="53" t="n">
        <f aca="false">IF(I26="Complete",1,IF(I26="Skipped",1,IF(I26="Blocked",0.5,IF(I26="In Progress",0.25,0))))</f>
        <v>0</v>
      </c>
      <c r="K26" s="54"/>
      <c r="L26" s="55"/>
      <c r="M26" s="56"/>
      <c r="N26" s="57" t="str">
        <f aca="false">IF(M26="","",M26-H26)</f>
        <v/>
      </c>
      <c r="O26" s="58" t="str">
        <f aca="false">IF(M26="","",ABS(M26-H26)*24)</f>
        <v/>
      </c>
      <c r="P26" s="11"/>
      <c r="Q26" s="67" t="s">
        <v>183</v>
      </c>
      <c r="R26" s="67" t="s">
        <v>184</v>
      </c>
      <c r="S26" s="67" t="s">
        <v>185</v>
      </c>
    </row>
    <row r="27" customFormat="false" ht="36" hidden="false" customHeight="true" outlineLevel="0" collapsed="false">
      <c r="A27" s="23" t="n">
        <v>22</v>
      </c>
      <c r="B27" s="60" t="s">
        <v>156</v>
      </c>
      <c r="C27" s="23" t="s">
        <v>186</v>
      </c>
      <c r="D27" s="61" t="s">
        <v>187</v>
      </c>
      <c r="E27" s="62" t="s">
        <v>188</v>
      </c>
      <c r="F27" s="23" t="s">
        <v>64</v>
      </c>
      <c r="G27" s="26" t="e">
        <f aca="false">ROUND(4*$H$3,0)</f>
        <v>#VALUE!</v>
      </c>
      <c r="H27" s="25" t="e">
        <f aca="false">$C$3+G27</f>
        <v>#VALUE!</v>
      </c>
      <c r="I27" s="52"/>
      <c r="J27" s="53" t="n">
        <f aca="false">IF(I27="Complete",1,IF(I27="Skipped",1,IF(I27="Blocked",0.5,IF(I27="In Progress",0.25,0))))</f>
        <v>0</v>
      </c>
      <c r="K27" s="54"/>
      <c r="L27" s="55"/>
      <c r="M27" s="56"/>
      <c r="N27" s="57" t="str">
        <f aca="false">IF(M27="","",M27-H27)</f>
        <v/>
      </c>
      <c r="O27" s="58" t="str">
        <f aca="false">IF(M27="","",ABS(M27-H27)*24)</f>
        <v/>
      </c>
      <c r="P27" s="23"/>
      <c r="Q27" s="63" t="s">
        <v>189</v>
      </c>
      <c r="R27" s="63" t="s">
        <v>190</v>
      </c>
      <c r="S27" s="63" t="s">
        <v>191</v>
      </c>
    </row>
    <row r="28" customFormat="false" ht="36" hidden="false" customHeight="true" outlineLevel="0" collapsed="false">
      <c r="A28" s="11" t="n">
        <v>23</v>
      </c>
      <c r="B28" s="64" t="s">
        <v>156</v>
      </c>
      <c r="C28" s="11" t="s">
        <v>192</v>
      </c>
      <c r="D28" s="65" t="s">
        <v>193</v>
      </c>
      <c r="E28" s="66" t="s">
        <v>194</v>
      </c>
      <c r="F28" s="11" t="s">
        <v>64</v>
      </c>
      <c r="G28" s="17" t="e">
        <f aca="false">ROUND(5*$H$3,0)</f>
        <v>#VALUE!</v>
      </c>
      <c r="H28" s="16" t="e">
        <f aca="false">$C$3+G28</f>
        <v>#VALUE!</v>
      </c>
      <c r="I28" s="52"/>
      <c r="J28" s="53" t="n">
        <f aca="false">IF(I28="Complete",1,IF(I28="Skipped",1,IF(I28="Blocked",0.5,IF(I28="In Progress",0.25,0))))</f>
        <v>0</v>
      </c>
      <c r="K28" s="54"/>
      <c r="L28" s="55"/>
      <c r="M28" s="56"/>
      <c r="N28" s="57" t="str">
        <f aca="false">IF(M28="","",M28-H28)</f>
        <v/>
      </c>
      <c r="O28" s="58" t="str">
        <f aca="false">IF(M28="","",ABS(M28-H28)*24)</f>
        <v/>
      </c>
      <c r="P28" s="11"/>
      <c r="Q28" s="67" t="s">
        <v>195</v>
      </c>
      <c r="R28" s="67" t="s">
        <v>196</v>
      </c>
      <c r="S28" s="67" t="s">
        <v>197</v>
      </c>
    </row>
    <row r="29" customFormat="false" ht="36" hidden="false" customHeight="true" outlineLevel="0" collapsed="false">
      <c r="A29" s="23" t="n">
        <v>24</v>
      </c>
      <c r="B29" s="60" t="s">
        <v>156</v>
      </c>
      <c r="C29" s="23" t="s">
        <v>198</v>
      </c>
      <c r="D29" s="61" t="s">
        <v>199</v>
      </c>
      <c r="E29" s="62" t="s">
        <v>200</v>
      </c>
      <c r="F29" s="23" t="s">
        <v>64</v>
      </c>
      <c r="G29" s="26" t="e">
        <f aca="false">ROUND(5*$H$3,0)</f>
        <v>#VALUE!</v>
      </c>
      <c r="H29" s="25" t="e">
        <f aca="false">$C$3+G29</f>
        <v>#VALUE!</v>
      </c>
      <c r="I29" s="52"/>
      <c r="J29" s="53" t="n">
        <f aca="false">IF(I29="Complete",1,IF(I29="Skipped",1,IF(I29="Blocked",0.5,IF(I29="In Progress",0.25,0))))</f>
        <v>0</v>
      </c>
      <c r="K29" s="54"/>
      <c r="L29" s="55"/>
      <c r="M29" s="56"/>
      <c r="N29" s="57" t="str">
        <f aca="false">IF(M29="","",M29-H29)</f>
        <v/>
      </c>
      <c r="O29" s="58" t="str">
        <f aca="false">IF(M29="","",ABS(M29-H29)*24)</f>
        <v/>
      </c>
      <c r="P29" s="23"/>
      <c r="Q29" s="63" t="s">
        <v>201</v>
      </c>
      <c r="R29" s="63" t="s">
        <v>202</v>
      </c>
      <c r="S29" s="63" t="s">
        <v>203</v>
      </c>
    </row>
    <row r="30" customFormat="false" ht="36" hidden="false" customHeight="true" outlineLevel="0" collapsed="false">
      <c r="A30" s="11" t="n">
        <v>25</v>
      </c>
      <c r="B30" s="64" t="s">
        <v>156</v>
      </c>
      <c r="C30" s="11" t="s">
        <v>204</v>
      </c>
      <c r="D30" s="65" t="s">
        <v>205</v>
      </c>
      <c r="E30" s="66" t="s">
        <v>206</v>
      </c>
      <c r="F30" s="11" t="s">
        <v>64</v>
      </c>
      <c r="G30" s="17" t="e">
        <f aca="false">ROUND(5*$H$3,0)</f>
        <v>#VALUE!</v>
      </c>
      <c r="H30" s="16" t="e">
        <f aca="false">$C$3+G30</f>
        <v>#VALUE!</v>
      </c>
      <c r="I30" s="52"/>
      <c r="J30" s="53" t="n">
        <f aca="false">IF(I30="Complete",1,IF(I30="Skipped",1,IF(I30="Blocked",0.5,IF(I30="In Progress",0.25,0))))</f>
        <v>0</v>
      </c>
      <c r="K30" s="54"/>
      <c r="L30" s="55"/>
      <c r="M30" s="56"/>
      <c r="N30" s="57" t="str">
        <f aca="false">IF(M30="","",M30-H30)</f>
        <v/>
      </c>
      <c r="O30" s="58" t="str">
        <f aca="false">IF(M30="","",ABS(M30-H30)*24)</f>
        <v/>
      </c>
      <c r="P30" s="11"/>
      <c r="Q30" s="67" t="s">
        <v>207</v>
      </c>
      <c r="R30" s="67" t="s">
        <v>208</v>
      </c>
      <c r="S30" s="67" t="s">
        <v>209</v>
      </c>
    </row>
    <row r="31" customFormat="false" ht="36" hidden="false" customHeight="true" outlineLevel="0" collapsed="false">
      <c r="A31" s="46" t="n">
        <v>26</v>
      </c>
      <c r="B31" s="47" t="s">
        <v>210</v>
      </c>
      <c r="C31" s="46" t="s">
        <v>211</v>
      </c>
      <c r="D31" s="48" t="s">
        <v>212</v>
      </c>
      <c r="E31" s="49" t="s">
        <v>213</v>
      </c>
      <c r="F31" s="46" t="s">
        <v>214</v>
      </c>
      <c r="G31" s="50" t="e">
        <f aca="false">ROUND(6*$H$3,0)</f>
        <v>#VALUE!</v>
      </c>
      <c r="H31" s="51" t="e">
        <f aca="false">$C$3+G31</f>
        <v>#VALUE!</v>
      </c>
      <c r="I31" s="52"/>
      <c r="J31" s="53" t="n">
        <f aca="false">IF(I31="Complete",1,IF(I31="Skipped",1,IF(I31="Blocked",0.5,IF(I31="In Progress",0.25,0))))</f>
        <v>0</v>
      </c>
      <c r="K31" s="54"/>
      <c r="L31" s="55"/>
      <c r="M31" s="56"/>
      <c r="N31" s="57" t="str">
        <f aca="false">IF(M31="","",M31-H31)</f>
        <v/>
      </c>
      <c r="O31" s="58" t="str">
        <f aca="false">IF(M31="","",ABS(M31-H31)*24)</f>
        <v/>
      </c>
      <c r="P31" s="46"/>
      <c r="Q31" s="59" t="s">
        <v>215</v>
      </c>
      <c r="R31" s="59" t="s">
        <v>216</v>
      </c>
      <c r="S31" s="59" t="s">
        <v>217</v>
      </c>
    </row>
    <row r="32" customFormat="false" ht="36" hidden="false" customHeight="true" outlineLevel="0" collapsed="false">
      <c r="A32" s="11" t="n">
        <v>27</v>
      </c>
      <c r="B32" s="64" t="s">
        <v>210</v>
      </c>
      <c r="C32" s="11" t="s">
        <v>218</v>
      </c>
      <c r="D32" s="65" t="s">
        <v>219</v>
      </c>
      <c r="E32" s="66" t="s">
        <v>220</v>
      </c>
      <c r="F32" s="11" t="s">
        <v>214</v>
      </c>
      <c r="G32" s="17" t="e">
        <f aca="false">ROUND(6*$H$3,0)</f>
        <v>#VALUE!</v>
      </c>
      <c r="H32" s="16" t="e">
        <f aca="false">$C$3+G32</f>
        <v>#VALUE!</v>
      </c>
      <c r="I32" s="52"/>
      <c r="J32" s="53" t="n">
        <f aca="false">IF(I32="Complete",1,IF(I32="Skipped",1,IF(I32="Blocked",0.5,IF(I32="In Progress",0.25,0))))</f>
        <v>0</v>
      </c>
      <c r="K32" s="54"/>
      <c r="L32" s="55"/>
      <c r="M32" s="56"/>
      <c r="N32" s="57" t="str">
        <f aca="false">IF(M32="","",M32-H32)</f>
        <v/>
      </c>
      <c r="O32" s="58" t="str">
        <f aca="false">IF(M32="","",ABS(M32-H32)*24)</f>
        <v/>
      </c>
      <c r="P32" s="11"/>
      <c r="Q32" s="67" t="s">
        <v>221</v>
      </c>
      <c r="R32" s="67" t="s">
        <v>222</v>
      </c>
      <c r="S32" s="67" t="s">
        <v>223</v>
      </c>
    </row>
    <row r="33" customFormat="false" ht="36" hidden="false" customHeight="true" outlineLevel="0" collapsed="false">
      <c r="A33" s="23" t="n">
        <v>28</v>
      </c>
      <c r="B33" s="60" t="s">
        <v>210</v>
      </c>
      <c r="C33" s="23" t="s">
        <v>224</v>
      </c>
      <c r="D33" s="61" t="s">
        <v>225</v>
      </c>
      <c r="E33" s="62" t="s">
        <v>226</v>
      </c>
      <c r="F33" s="23" t="s">
        <v>64</v>
      </c>
      <c r="G33" s="26" t="e">
        <f aca="false">ROUND(7*$H$3,0)</f>
        <v>#VALUE!</v>
      </c>
      <c r="H33" s="25" t="e">
        <f aca="false">$C$3+G33</f>
        <v>#VALUE!</v>
      </c>
      <c r="I33" s="52"/>
      <c r="J33" s="53" t="n">
        <f aca="false">IF(I33="Complete",1,IF(I33="Skipped",1,IF(I33="Blocked",0.5,IF(I33="In Progress",0.25,0))))</f>
        <v>0</v>
      </c>
      <c r="K33" s="54"/>
      <c r="L33" s="55"/>
      <c r="M33" s="56"/>
      <c r="N33" s="57" t="str">
        <f aca="false">IF(M33="","",M33-H33)</f>
        <v/>
      </c>
      <c r="O33" s="58" t="str">
        <f aca="false">IF(M33="","",ABS(M33-H33)*24)</f>
        <v/>
      </c>
      <c r="P33" s="23"/>
      <c r="Q33" s="63" t="s">
        <v>227</v>
      </c>
      <c r="R33" s="63" t="s">
        <v>228</v>
      </c>
      <c r="S33" s="63" t="s">
        <v>229</v>
      </c>
    </row>
    <row r="34" customFormat="false" ht="36" hidden="false" customHeight="true" outlineLevel="0" collapsed="false">
      <c r="A34" s="11" t="n">
        <v>29</v>
      </c>
      <c r="B34" s="64" t="s">
        <v>210</v>
      </c>
      <c r="C34" s="11" t="s">
        <v>230</v>
      </c>
      <c r="D34" s="65" t="s">
        <v>231</v>
      </c>
      <c r="E34" s="66" t="s">
        <v>232</v>
      </c>
      <c r="F34" s="11" t="s">
        <v>214</v>
      </c>
      <c r="G34" s="17" t="e">
        <f aca="false">ROUND(8*$H$3,0)</f>
        <v>#VALUE!</v>
      </c>
      <c r="H34" s="16" t="e">
        <f aca="false">$C$3+G34</f>
        <v>#VALUE!</v>
      </c>
      <c r="I34" s="52"/>
      <c r="J34" s="53" t="n">
        <f aca="false">IF(I34="Complete",1,IF(I34="Skipped",1,IF(I34="Blocked",0.5,IF(I34="In Progress",0.25,0))))</f>
        <v>0</v>
      </c>
      <c r="K34" s="54"/>
      <c r="L34" s="55"/>
      <c r="M34" s="56"/>
      <c r="N34" s="57" t="str">
        <f aca="false">IF(M34="","",M34-H34)</f>
        <v/>
      </c>
      <c r="O34" s="58" t="str">
        <f aca="false">IF(M34="","",ABS(M34-H34)*24)</f>
        <v/>
      </c>
      <c r="P34" s="11"/>
      <c r="Q34" s="67" t="s">
        <v>233</v>
      </c>
      <c r="R34" s="67" t="s">
        <v>66</v>
      </c>
      <c r="S34" s="67" t="s">
        <v>234</v>
      </c>
    </row>
    <row r="35" customFormat="false" ht="36" hidden="false" customHeight="true" outlineLevel="0" collapsed="false">
      <c r="A35" s="23" t="n">
        <v>30</v>
      </c>
      <c r="B35" s="60" t="s">
        <v>210</v>
      </c>
      <c r="C35" s="23" t="s">
        <v>235</v>
      </c>
      <c r="D35" s="61" t="s">
        <v>236</v>
      </c>
      <c r="E35" s="62" t="s">
        <v>237</v>
      </c>
      <c r="F35" s="23" t="s">
        <v>114</v>
      </c>
      <c r="G35" s="26" t="e">
        <f aca="false">ROUND(8*$H$3,0)</f>
        <v>#VALUE!</v>
      </c>
      <c r="H35" s="25" t="e">
        <f aca="false">$C$3+G35</f>
        <v>#VALUE!</v>
      </c>
      <c r="I35" s="52"/>
      <c r="J35" s="53" t="n">
        <f aca="false">IF(I35="Complete",1,IF(I35="Skipped",1,IF(I35="Blocked",0.5,IF(I35="In Progress",0.25,0))))</f>
        <v>0</v>
      </c>
      <c r="K35" s="54"/>
      <c r="L35" s="55"/>
      <c r="M35" s="56"/>
      <c r="N35" s="57" t="str">
        <f aca="false">IF(M35="","",M35-H35)</f>
        <v/>
      </c>
      <c r="O35" s="58" t="str">
        <f aca="false">IF(M35="","",ABS(M35-H35)*24)</f>
        <v/>
      </c>
      <c r="P35" s="23"/>
      <c r="Q35" s="63" t="s">
        <v>238</v>
      </c>
      <c r="R35" s="63" t="s">
        <v>239</v>
      </c>
      <c r="S35" s="63"/>
    </row>
    <row r="36" customFormat="false" ht="36" hidden="false" customHeight="true" outlineLevel="0" collapsed="false">
      <c r="A36" s="46" t="n">
        <v>31</v>
      </c>
      <c r="B36" s="47" t="s">
        <v>240</v>
      </c>
      <c r="C36" s="46" t="s">
        <v>241</v>
      </c>
      <c r="D36" s="48" t="s">
        <v>242</v>
      </c>
      <c r="E36" s="49" t="s">
        <v>243</v>
      </c>
      <c r="F36" s="46" t="s">
        <v>64</v>
      </c>
      <c r="G36" s="50" t="e">
        <f aca="false">ROUND(9*$H$3,0)</f>
        <v>#VALUE!</v>
      </c>
      <c r="H36" s="51" t="e">
        <f aca="false">$C$3+G36</f>
        <v>#VALUE!</v>
      </c>
      <c r="I36" s="52"/>
      <c r="J36" s="53" t="n">
        <f aca="false">IF(I36="Complete",1,IF(I36="Skipped",1,IF(I36="Blocked",0.5,IF(I36="In Progress",0.25,0))))</f>
        <v>0</v>
      </c>
      <c r="K36" s="54"/>
      <c r="L36" s="55"/>
      <c r="M36" s="56"/>
      <c r="N36" s="57" t="str">
        <f aca="false">IF(M36="","",M36-H36)</f>
        <v/>
      </c>
      <c r="O36" s="58" t="str">
        <f aca="false">IF(M36="","",ABS(M36-H36)*24)</f>
        <v/>
      </c>
      <c r="P36" s="46"/>
      <c r="Q36" s="59" t="s">
        <v>244</v>
      </c>
      <c r="R36" s="59" t="s">
        <v>245</v>
      </c>
      <c r="S36" s="59" t="s">
        <v>246</v>
      </c>
    </row>
    <row r="37" customFormat="false" ht="36" hidden="false" customHeight="true" outlineLevel="0" collapsed="false">
      <c r="A37" s="23" t="n">
        <v>32</v>
      </c>
      <c r="B37" s="60" t="s">
        <v>240</v>
      </c>
      <c r="C37" s="23" t="s">
        <v>247</v>
      </c>
      <c r="D37" s="61" t="s">
        <v>248</v>
      </c>
      <c r="E37" s="62" t="s">
        <v>249</v>
      </c>
      <c r="F37" s="23" t="s">
        <v>114</v>
      </c>
      <c r="G37" s="26" t="e">
        <f aca="false">ROUND(10*$H$3,0)</f>
        <v>#VALUE!</v>
      </c>
      <c r="H37" s="25" t="e">
        <f aca="false">$C$3+G37</f>
        <v>#VALUE!</v>
      </c>
      <c r="I37" s="52"/>
      <c r="J37" s="53" t="n">
        <f aca="false">IF(I37="Complete",1,IF(I37="Skipped",1,IF(I37="Blocked",0.5,IF(I37="In Progress",0.25,0))))</f>
        <v>0</v>
      </c>
      <c r="K37" s="54"/>
      <c r="L37" s="55"/>
      <c r="M37" s="56"/>
      <c r="N37" s="57" t="str">
        <f aca="false">IF(M37="","",M37-H37)</f>
        <v/>
      </c>
      <c r="O37" s="58" t="str">
        <f aca="false">IF(M37="","",ABS(M37-H37)*24)</f>
        <v/>
      </c>
      <c r="P37" s="23"/>
      <c r="Q37" s="63" t="s">
        <v>250</v>
      </c>
      <c r="R37" s="63" t="s">
        <v>251</v>
      </c>
      <c r="S37" s="63"/>
    </row>
    <row r="38" customFormat="false" ht="36" hidden="false" customHeight="true" outlineLevel="0" collapsed="false">
      <c r="A38" s="11" t="n">
        <v>33</v>
      </c>
      <c r="B38" s="64" t="s">
        <v>240</v>
      </c>
      <c r="C38" s="11" t="s">
        <v>252</v>
      </c>
      <c r="D38" s="65" t="s">
        <v>253</v>
      </c>
      <c r="E38" s="66" t="s">
        <v>254</v>
      </c>
      <c r="F38" s="11" t="s">
        <v>152</v>
      </c>
      <c r="G38" s="17" t="e">
        <f aca="false">ROUND(10*$H$3,0)</f>
        <v>#VALUE!</v>
      </c>
      <c r="H38" s="16" t="e">
        <f aca="false">$C$3+G38</f>
        <v>#VALUE!</v>
      </c>
      <c r="I38" s="52"/>
      <c r="J38" s="53" t="n">
        <f aca="false">IF(I38="Complete",1,IF(I38="Skipped",1,IF(I38="Blocked",0.5,IF(I38="In Progress",0.25,0))))</f>
        <v>0</v>
      </c>
      <c r="K38" s="54"/>
      <c r="L38" s="55"/>
      <c r="M38" s="56"/>
      <c r="N38" s="57" t="str">
        <f aca="false">IF(M38="","",M38-H38)</f>
        <v/>
      </c>
      <c r="O38" s="58" t="str">
        <f aca="false">IF(M38="","",ABS(M38-H38)*24)</f>
        <v/>
      </c>
      <c r="P38" s="11"/>
      <c r="Q38" s="67" t="s">
        <v>255</v>
      </c>
      <c r="R38" s="67" t="s">
        <v>256</v>
      </c>
      <c r="S38" s="67" t="s">
        <v>257</v>
      </c>
    </row>
    <row r="39" customFormat="false" ht="36" hidden="false" customHeight="true" outlineLevel="0" collapsed="false">
      <c r="A39" s="23" t="n">
        <v>34</v>
      </c>
      <c r="B39" s="60" t="s">
        <v>240</v>
      </c>
      <c r="C39" s="23" t="s">
        <v>258</v>
      </c>
      <c r="D39" s="61" t="s">
        <v>259</v>
      </c>
      <c r="E39" s="62" t="s">
        <v>260</v>
      </c>
      <c r="F39" s="23" t="s">
        <v>64</v>
      </c>
      <c r="G39" s="26" t="e">
        <f aca="false">ROUND(10*$H$3,0)</f>
        <v>#VALUE!</v>
      </c>
      <c r="H39" s="25" t="e">
        <f aca="false">$C$3+G39</f>
        <v>#VALUE!</v>
      </c>
      <c r="I39" s="52"/>
      <c r="J39" s="53" t="n">
        <f aca="false">IF(I39="Complete",1,IF(I39="Skipped",1,IF(I39="Blocked",0.5,IF(I39="In Progress",0.25,0))))</f>
        <v>0</v>
      </c>
      <c r="K39" s="54"/>
      <c r="L39" s="55"/>
      <c r="M39" s="56"/>
      <c r="N39" s="57" t="str">
        <f aca="false">IF(M39="","",M39-H39)</f>
        <v/>
      </c>
      <c r="O39" s="58" t="str">
        <f aca="false">IF(M39="","",ABS(M39-H39)*24)</f>
        <v/>
      </c>
      <c r="P39" s="23"/>
      <c r="Q39" s="63" t="s">
        <v>261</v>
      </c>
      <c r="R39" s="63" t="s">
        <v>262</v>
      </c>
      <c r="S39" s="63"/>
    </row>
    <row r="40" customFormat="false" ht="36" hidden="false" customHeight="true" outlineLevel="0" collapsed="false">
      <c r="A40" s="46" t="n">
        <v>35</v>
      </c>
      <c r="B40" s="47" t="s">
        <v>263</v>
      </c>
      <c r="C40" s="46" t="s">
        <v>264</v>
      </c>
      <c r="D40" s="48" t="s">
        <v>265</v>
      </c>
      <c r="E40" s="49" t="s">
        <v>266</v>
      </c>
      <c r="F40" s="46" t="s">
        <v>64</v>
      </c>
      <c r="G40" s="50" t="e">
        <f aca="false">ROUND(10*$H$3,0)</f>
        <v>#VALUE!</v>
      </c>
      <c r="H40" s="51" t="e">
        <f aca="false">$C$3+G40</f>
        <v>#VALUE!</v>
      </c>
      <c r="I40" s="52"/>
      <c r="J40" s="53" t="n">
        <f aca="false">IF(I40="Complete",1,IF(I40="Skipped",1,IF(I40="Blocked",0.5,IF(I40="In Progress",0.25,0))))</f>
        <v>0</v>
      </c>
      <c r="K40" s="54"/>
      <c r="L40" s="55"/>
      <c r="M40" s="56"/>
      <c r="N40" s="57" t="str">
        <f aca="false">IF(M40="","",M40-H40)</f>
        <v/>
      </c>
      <c r="O40" s="58" t="str">
        <f aca="false">IF(M40="","",ABS(M40-H40)*24)</f>
        <v/>
      </c>
      <c r="P40" s="46"/>
      <c r="Q40" s="59" t="s">
        <v>267</v>
      </c>
      <c r="R40" s="59" t="s">
        <v>268</v>
      </c>
      <c r="S40" s="59" t="s">
        <v>269</v>
      </c>
    </row>
    <row r="41" customFormat="false" ht="36" hidden="false" customHeight="true" outlineLevel="0" collapsed="false">
      <c r="A41" s="46" t="n">
        <v>36</v>
      </c>
      <c r="B41" s="47" t="s">
        <v>270</v>
      </c>
      <c r="C41" s="46" t="s">
        <v>271</v>
      </c>
      <c r="D41" s="48" t="s">
        <v>272</v>
      </c>
      <c r="E41" s="49" t="s">
        <v>273</v>
      </c>
      <c r="F41" s="46" t="s">
        <v>214</v>
      </c>
      <c r="G41" s="50" t="e">
        <f aca="false">ROUND(11*$H$3,0)</f>
        <v>#VALUE!</v>
      </c>
      <c r="H41" s="51" t="e">
        <f aca="false">$C$3+G41</f>
        <v>#VALUE!</v>
      </c>
      <c r="I41" s="52"/>
      <c r="J41" s="53" t="n">
        <f aca="false">IF(I41="Complete",1,IF(I41="Skipped",1,IF(I41="Blocked",0.5,IF(I41="In Progress",0.25,0))))</f>
        <v>0</v>
      </c>
      <c r="K41" s="54"/>
      <c r="L41" s="55"/>
      <c r="M41" s="56"/>
      <c r="N41" s="57" t="str">
        <f aca="false">IF(M41="","",M41-H41)</f>
        <v/>
      </c>
      <c r="O41" s="58" t="str">
        <f aca="false">IF(M41="","",ABS(M41-H41)*24)</f>
        <v/>
      </c>
      <c r="P41" s="46"/>
      <c r="Q41" s="59" t="s">
        <v>274</v>
      </c>
      <c r="R41" s="59" t="s">
        <v>275</v>
      </c>
      <c r="S41" s="59" t="s">
        <v>276</v>
      </c>
    </row>
    <row r="42" customFormat="false" ht="36" hidden="false" customHeight="true" outlineLevel="0" collapsed="false">
      <c r="A42" s="11" t="n">
        <v>37</v>
      </c>
      <c r="B42" s="64" t="s">
        <v>270</v>
      </c>
      <c r="C42" s="11" t="s">
        <v>277</v>
      </c>
      <c r="D42" s="65" t="s">
        <v>278</v>
      </c>
      <c r="E42" s="66" t="s">
        <v>279</v>
      </c>
      <c r="F42" s="11" t="s">
        <v>64</v>
      </c>
      <c r="G42" s="17" t="e">
        <f aca="false">ROUND(11*$H$3,0)</f>
        <v>#VALUE!</v>
      </c>
      <c r="H42" s="16" t="e">
        <f aca="false">$C$3+G42</f>
        <v>#VALUE!</v>
      </c>
      <c r="I42" s="52"/>
      <c r="J42" s="53" t="n">
        <f aca="false">IF(I42="Complete",1,IF(I42="Skipped",1,IF(I42="Blocked",0.5,IF(I42="In Progress",0.25,0))))</f>
        <v>0</v>
      </c>
      <c r="K42" s="54"/>
      <c r="L42" s="55"/>
      <c r="M42" s="56"/>
      <c r="N42" s="57" t="str">
        <f aca="false">IF(M42="","",M42-H42)</f>
        <v/>
      </c>
      <c r="O42" s="58" t="str">
        <f aca="false">IF(M42="","",ABS(M42-H42)*24)</f>
        <v/>
      </c>
      <c r="P42" s="11"/>
      <c r="Q42" s="67" t="s">
        <v>280</v>
      </c>
      <c r="R42" s="67" t="s">
        <v>281</v>
      </c>
      <c r="S42" s="67" t="s">
        <v>282</v>
      </c>
    </row>
    <row r="43" customFormat="false" ht="36" hidden="false" customHeight="true" outlineLevel="0" collapsed="false">
      <c r="A43" s="23" t="n">
        <v>38</v>
      </c>
      <c r="B43" s="60" t="s">
        <v>270</v>
      </c>
      <c r="C43" s="23" t="s">
        <v>283</v>
      </c>
      <c r="D43" s="61" t="s">
        <v>284</v>
      </c>
      <c r="E43" s="62" t="s">
        <v>285</v>
      </c>
      <c r="F43" s="23" t="s">
        <v>114</v>
      </c>
      <c r="G43" s="26" t="e">
        <f aca="false">ROUND(11*$H$3,0)</f>
        <v>#VALUE!</v>
      </c>
      <c r="H43" s="25" t="e">
        <f aca="false">$C$3+G43</f>
        <v>#VALUE!</v>
      </c>
      <c r="I43" s="52"/>
      <c r="J43" s="53" t="n">
        <f aca="false">IF(I43="Complete",1,IF(I43="Skipped",1,IF(I43="Blocked",0.5,IF(I43="In Progress",0.25,0))))</f>
        <v>0</v>
      </c>
      <c r="K43" s="54"/>
      <c r="L43" s="55"/>
      <c r="M43" s="56"/>
      <c r="N43" s="57" t="str">
        <f aca="false">IF(M43="","",M43-H43)</f>
        <v/>
      </c>
      <c r="O43" s="58" t="str">
        <f aca="false">IF(M43="","",ABS(M43-H43)*24)</f>
        <v/>
      </c>
      <c r="P43" s="23"/>
      <c r="Q43" s="63" t="s">
        <v>286</v>
      </c>
      <c r="R43" s="63" t="s">
        <v>287</v>
      </c>
      <c r="S43" s="63"/>
    </row>
    <row r="44" customFormat="false" ht="36" hidden="false" customHeight="true" outlineLevel="0" collapsed="false">
      <c r="A44" s="46" t="n">
        <v>39</v>
      </c>
      <c r="B44" s="47" t="s">
        <v>288</v>
      </c>
      <c r="C44" s="46" t="s">
        <v>289</v>
      </c>
      <c r="D44" s="48" t="s">
        <v>290</v>
      </c>
      <c r="E44" s="49" t="s">
        <v>291</v>
      </c>
      <c r="F44" s="46" t="s">
        <v>64</v>
      </c>
      <c r="G44" s="50" t="e">
        <f aca="false">ROUND(12*$H$3,0)</f>
        <v>#VALUE!</v>
      </c>
      <c r="H44" s="51" t="e">
        <f aca="false">$C$3+G44</f>
        <v>#VALUE!</v>
      </c>
      <c r="I44" s="52"/>
      <c r="J44" s="53" t="n">
        <f aca="false">IF(I44="Complete",1,IF(I44="Skipped",1,IF(I44="Blocked",0.5,IF(I44="In Progress",0.25,0))))</f>
        <v>0</v>
      </c>
      <c r="K44" s="54"/>
      <c r="L44" s="55"/>
      <c r="M44" s="56"/>
      <c r="N44" s="57" t="str">
        <f aca="false">IF(M44="","",M44-H44)</f>
        <v/>
      </c>
      <c r="O44" s="58" t="str">
        <f aca="false">IF(M44="","",ABS(M44-H44)*24)</f>
        <v/>
      </c>
      <c r="P44" s="46"/>
      <c r="Q44" s="59" t="s">
        <v>292</v>
      </c>
      <c r="R44" s="59" t="s">
        <v>293</v>
      </c>
      <c r="S44" s="59" t="s">
        <v>294</v>
      </c>
    </row>
    <row r="45" customFormat="false" ht="36" hidden="false" customHeight="true" outlineLevel="0" collapsed="false">
      <c r="A45" s="23" t="n">
        <v>40</v>
      </c>
      <c r="B45" s="60" t="s">
        <v>288</v>
      </c>
      <c r="C45" s="23" t="s">
        <v>295</v>
      </c>
      <c r="D45" s="61" t="s">
        <v>296</v>
      </c>
      <c r="E45" s="62" t="s">
        <v>297</v>
      </c>
      <c r="F45" s="23" t="s">
        <v>64</v>
      </c>
      <c r="G45" s="26" t="e">
        <f aca="false">ROUND(12*$H$3,0)</f>
        <v>#VALUE!</v>
      </c>
      <c r="H45" s="25" t="e">
        <f aca="false">$C$3+G45</f>
        <v>#VALUE!</v>
      </c>
      <c r="I45" s="52"/>
      <c r="J45" s="53" t="n">
        <f aca="false">IF(I45="Complete",1,IF(I45="Skipped",1,IF(I45="Blocked",0.5,IF(I45="In Progress",0.25,0))))</f>
        <v>0</v>
      </c>
      <c r="K45" s="54"/>
      <c r="L45" s="55"/>
      <c r="M45" s="56"/>
      <c r="N45" s="57" t="str">
        <f aca="false">IF(M45="","",M45-H45)</f>
        <v/>
      </c>
      <c r="O45" s="58" t="str">
        <f aca="false">IF(M45="","",ABS(M45-H45)*24)</f>
        <v/>
      </c>
      <c r="P45" s="23"/>
      <c r="Q45" s="63" t="s">
        <v>298</v>
      </c>
      <c r="R45" s="63" t="s">
        <v>299</v>
      </c>
      <c r="S45" s="63" t="s">
        <v>300</v>
      </c>
    </row>
    <row r="46" customFormat="false" ht="36" hidden="false" customHeight="true" outlineLevel="0" collapsed="false">
      <c r="A46" s="11" t="n">
        <v>41</v>
      </c>
      <c r="B46" s="64" t="s">
        <v>288</v>
      </c>
      <c r="C46" s="11" t="s">
        <v>301</v>
      </c>
      <c r="D46" s="65" t="s">
        <v>302</v>
      </c>
      <c r="E46" s="66" t="s">
        <v>303</v>
      </c>
      <c r="F46" s="11" t="s">
        <v>114</v>
      </c>
      <c r="G46" s="17" t="e">
        <f aca="false">ROUND(12*$H$3,0)</f>
        <v>#VALUE!</v>
      </c>
      <c r="H46" s="16" t="e">
        <f aca="false">$C$3+G46</f>
        <v>#VALUE!</v>
      </c>
      <c r="I46" s="52"/>
      <c r="J46" s="53" t="n">
        <f aca="false">IF(I46="Complete",1,IF(I46="Skipped",1,IF(I46="Blocked",0.5,IF(I46="In Progress",0.25,0))))</f>
        <v>0</v>
      </c>
      <c r="K46" s="54"/>
      <c r="L46" s="55"/>
      <c r="M46" s="56"/>
      <c r="N46" s="57" t="str">
        <f aca="false">IF(M46="","",M46-H46)</f>
        <v/>
      </c>
      <c r="O46" s="58" t="str">
        <f aca="false">IF(M46="","",ABS(M46-H46)*24)</f>
        <v/>
      </c>
      <c r="P46" s="11"/>
      <c r="Q46" s="67" t="s">
        <v>304</v>
      </c>
      <c r="R46" s="67" t="s">
        <v>305</v>
      </c>
      <c r="S46" s="67" t="s">
        <v>306</v>
      </c>
    </row>
    <row r="47" customFormat="false" ht="36" hidden="false" customHeight="true" outlineLevel="0" collapsed="false">
      <c r="A47" s="23" t="n">
        <v>42</v>
      </c>
      <c r="B47" s="60" t="s">
        <v>288</v>
      </c>
      <c r="C47" s="23" t="s">
        <v>307</v>
      </c>
      <c r="D47" s="61" t="s">
        <v>308</v>
      </c>
      <c r="E47" s="62" t="s">
        <v>309</v>
      </c>
      <c r="F47" s="23" t="s">
        <v>64</v>
      </c>
      <c r="G47" s="26" t="e">
        <f aca="false">ROUND(13*$H$3,0)</f>
        <v>#VALUE!</v>
      </c>
      <c r="H47" s="25" t="e">
        <f aca="false">$C$3+G47</f>
        <v>#VALUE!</v>
      </c>
      <c r="I47" s="52"/>
      <c r="J47" s="53" t="n">
        <f aca="false">IF(I47="Complete",1,IF(I47="Skipped",1,IF(I47="Blocked",0.5,IF(I47="In Progress",0.25,0))))</f>
        <v>0</v>
      </c>
      <c r="K47" s="54"/>
      <c r="L47" s="55"/>
      <c r="M47" s="56"/>
      <c r="N47" s="57" t="str">
        <f aca="false">IF(M47="","",M47-H47)</f>
        <v/>
      </c>
      <c r="O47" s="58" t="str">
        <f aca="false">IF(M47="","",ABS(M47-H47)*24)</f>
        <v/>
      </c>
      <c r="P47" s="23"/>
      <c r="Q47" s="63" t="s">
        <v>310</v>
      </c>
      <c r="R47" s="63" t="s">
        <v>311</v>
      </c>
      <c r="S47" s="63" t="s">
        <v>312</v>
      </c>
    </row>
    <row r="48" customFormat="false" ht="36" hidden="false" customHeight="true" outlineLevel="0" collapsed="false">
      <c r="A48" s="11" t="n">
        <v>43</v>
      </c>
      <c r="B48" s="64" t="s">
        <v>288</v>
      </c>
      <c r="C48" s="11" t="s">
        <v>313</v>
      </c>
      <c r="D48" s="65" t="s">
        <v>314</v>
      </c>
      <c r="E48" s="66" t="s">
        <v>315</v>
      </c>
      <c r="F48" s="11" t="s">
        <v>214</v>
      </c>
      <c r="G48" s="17" t="e">
        <f aca="false">ROUND(13*$H$3,0)</f>
        <v>#VALUE!</v>
      </c>
      <c r="H48" s="16" t="e">
        <f aca="false">$C$3+G48</f>
        <v>#VALUE!</v>
      </c>
      <c r="I48" s="52"/>
      <c r="J48" s="53" t="n">
        <f aca="false">IF(I48="Complete",1,IF(I48="Skipped",1,IF(I48="Blocked",0.5,IF(I48="In Progress",0.25,0))))</f>
        <v>0</v>
      </c>
      <c r="K48" s="54"/>
      <c r="L48" s="55"/>
      <c r="M48" s="56"/>
      <c r="N48" s="57" t="str">
        <f aca="false">IF(M48="","",M48-H48)</f>
        <v/>
      </c>
      <c r="O48" s="58" t="str">
        <f aca="false">IF(M48="","",ABS(M48-H48)*24)</f>
        <v/>
      </c>
      <c r="P48" s="11"/>
      <c r="Q48" s="67" t="s">
        <v>316</v>
      </c>
      <c r="R48" s="67" t="s">
        <v>317</v>
      </c>
      <c r="S48" s="67" t="s">
        <v>318</v>
      </c>
    </row>
    <row r="49" customFormat="false" ht="36" hidden="false" customHeight="true" outlineLevel="0" collapsed="false">
      <c r="A49" s="23" t="n">
        <v>44</v>
      </c>
      <c r="B49" s="60" t="s">
        <v>288</v>
      </c>
      <c r="C49" s="23" t="s">
        <v>319</v>
      </c>
      <c r="D49" s="61" t="s">
        <v>320</v>
      </c>
      <c r="E49" s="62" t="s">
        <v>321</v>
      </c>
      <c r="F49" s="23" t="s">
        <v>64</v>
      </c>
      <c r="G49" s="26" t="e">
        <f aca="false">ROUND(14*$H$3,0)</f>
        <v>#VALUE!</v>
      </c>
      <c r="H49" s="25" t="e">
        <f aca="false">$C$3+G49</f>
        <v>#VALUE!</v>
      </c>
      <c r="I49" s="52"/>
      <c r="J49" s="53" t="n">
        <f aca="false">IF(I49="Complete",1,IF(I49="Skipped",1,IF(I49="Blocked",0.5,IF(I49="In Progress",0.25,0))))</f>
        <v>0</v>
      </c>
      <c r="K49" s="54"/>
      <c r="L49" s="55"/>
      <c r="M49" s="56"/>
      <c r="N49" s="57" t="str">
        <f aca="false">IF(M49="","",M49-H49)</f>
        <v/>
      </c>
      <c r="O49" s="58" t="str">
        <f aca="false">IF(M49="","",ABS(M49-H49)*24)</f>
        <v/>
      </c>
      <c r="P49" s="23"/>
      <c r="Q49" s="63" t="s">
        <v>322</v>
      </c>
      <c r="R49" s="63" t="s">
        <v>323</v>
      </c>
      <c r="S49" s="63" t="s">
        <v>324</v>
      </c>
    </row>
    <row r="50" customFormat="false" ht="36" hidden="false" customHeight="true" outlineLevel="0" collapsed="false">
      <c r="A50" s="11" t="n">
        <v>45</v>
      </c>
      <c r="B50" s="64" t="s">
        <v>288</v>
      </c>
      <c r="C50" s="11" t="s">
        <v>325</v>
      </c>
      <c r="D50" s="65" t="s">
        <v>326</v>
      </c>
      <c r="E50" s="66" t="s">
        <v>327</v>
      </c>
      <c r="F50" s="11" t="s">
        <v>64</v>
      </c>
      <c r="G50" s="17" t="e">
        <f aca="false">ROUND(14*$H$3,0)</f>
        <v>#VALUE!</v>
      </c>
      <c r="H50" s="16" t="e">
        <f aca="false">$C$3+G50</f>
        <v>#VALUE!</v>
      </c>
      <c r="I50" s="52"/>
      <c r="J50" s="53" t="n">
        <f aca="false">IF(I50="Complete",1,IF(I50="Skipped",1,IF(I50="Blocked",0.5,IF(I50="In Progress",0.25,0))))</f>
        <v>0</v>
      </c>
      <c r="K50" s="54"/>
      <c r="L50" s="55"/>
      <c r="M50" s="56"/>
      <c r="N50" s="57" t="str">
        <f aca="false">IF(M50="","",M50-H50)</f>
        <v/>
      </c>
      <c r="O50" s="58" t="str">
        <f aca="false">IF(M50="","",ABS(M50-H50)*24)</f>
        <v/>
      </c>
      <c r="P50" s="11"/>
      <c r="Q50" s="67" t="s">
        <v>328</v>
      </c>
      <c r="R50" s="67" t="s">
        <v>66</v>
      </c>
      <c r="S50" s="67" t="s">
        <v>329</v>
      </c>
    </row>
    <row r="51" customFormat="false" ht="36" hidden="false" customHeight="true" outlineLevel="0" collapsed="false">
      <c r="A51" s="23" t="n">
        <v>46</v>
      </c>
      <c r="B51" s="60" t="s">
        <v>288</v>
      </c>
      <c r="C51" s="23" t="s">
        <v>330</v>
      </c>
      <c r="D51" s="61" t="s">
        <v>331</v>
      </c>
      <c r="E51" s="62" t="s">
        <v>332</v>
      </c>
      <c r="F51" s="23" t="s">
        <v>114</v>
      </c>
      <c r="G51" s="26" t="e">
        <f aca="false">ROUND(14*$H$3,0)</f>
        <v>#VALUE!</v>
      </c>
      <c r="H51" s="25" t="e">
        <f aca="false">$C$3+G51</f>
        <v>#VALUE!</v>
      </c>
      <c r="I51" s="52"/>
      <c r="J51" s="53" t="n">
        <f aca="false">IF(I51="Complete",1,IF(I51="Skipped",1,IF(I51="Blocked",0.5,IF(I51="In Progress",0.25,0))))</f>
        <v>0</v>
      </c>
      <c r="K51" s="54"/>
      <c r="L51" s="55"/>
      <c r="M51" s="56"/>
      <c r="N51" s="57" t="str">
        <f aca="false">IF(M51="","",M51-H51)</f>
        <v/>
      </c>
      <c r="O51" s="58" t="str">
        <f aca="false">IF(M51="","",ABS(M51-H51)*24)</f>
        <v/>
      </c>
      <c r="P51" s="23"/>
      <c r="Q51" s="63" t="s">
        <v>333</v>
      </c>
      <c r="R51" s="63" t="s">
        <v>116</v>
      </c>
      <c r="S51" s="63" t="s">
        <v>334</v>
      </c>
    </row>
    <row r="53" customFormat="false" ht="15" hidden="false" customHeight="true" outlineLevel="0" collapsed="false">
      <c r="A53" s="9" t="s">
        <v>335</v>
      </c>
      <c r="B53" s="9"/>
      <c r="C53" s="9"/>
      <c r="D53" s="9"/>
      <c r="E53" s="9"/>
      <c r="F53" s="9"/>
      <c r="G53" s="31"/>
      <c r="H53" s="31"/>
      <c r="I53" s="68" t="s">
        <v>336</v>
      </c>
      <c r="J53" s="69" t="n">
        <f aca="false">AVERAGE(J6:J51)</f>
        <v>0</v>
      </c>
      <c r="K53" s="31"/>
      <c r="L53" s="68" t="s">
        <v>337</v>
      </c>
      <c r="M53" s="9" t="n">
        <f aca="false">SUMPRODUCT((M6:M51&lt;&gt;"")*1)</f>
        <v>0</v>
      </c>
      <c r="N53" s="31"/>
      <c r="O53" s="33" t="n">
        <f aca="false">SUM(O6:O51)</f>
        <v>0</v>
      </c>
      <c r="P53" s="31"/>
      <c r="Q53" s="31"/>
      <c r="R53" s="31"/>
      <c r="S53" s="31"/>
    </row>
    <row r="54" customFormat="false" ht="15" hidden="false" customHeight="false" outlineLevel="0" collapsed="false">
      <c r="M54" s="70" t="s">
        <v>338</v>
      </c>
      <c r="N54" s="71" t="str">
        <f aca="false">IFERROR(AVERAGE(N6:N51),"")</f>
        <v/>
      </c>
    </row>
    <row r="55" customFormat="false" ht="15" hidden="false" customHeight="false" outlineLevel="0" collapsed="false">
      <c r="M55" s="70" t="s">
        <v>339</v>
      </c>
      <c r="N55" s="72" t="n">
        <f aca="false">IFERROR(MAX(N6:N51),"")</f>
        <v>0</v>
      </c>
    </row>
  </sheetData>
  <autoFilter ref="A5:S5"/>
  <mergeCells count="5">
    <mergeCell ref="A1:S1"/>
    <mergeCell ref="A3:B3"/>
    <mergeCell ref="E3:F3"/>
    <mergeCell ref="I3:J3"/>
    <mergeCell ref="A53:F53"/>
  </mergeCells>
  <conditionalFormatting sqref="I6:I51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0">
      <formula>"Skipped"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2">
      <formula>"In Progress"</formula>
    </cfRule>
  </conditionalFormatting>
  <conditionalFormatting sqref="J6:J51">
    <cfRule type="expression" priority="6" aboveAverage="0" equalAverage="0" bottom="0" percent="0" rank="0" text="" dxfId="14">
      <formula>$J6=1</formula>
    </cfRule>
    <cfRule type="expression" priority="7" aboveAverage="0" equalAverage="0" bottom="0" percent="0" rank="0" text="" dxfId="15">
      <formula>$J6&gt;=0.5</formula>
    </cfRule>
    <cfRule type="expression" priority="8" aboveAverage="0" equalAverage="0" bottom="0" percent="0" rank="0" text="" dxfId="16">
      <formula>$J6&gt;=0.25</formula>
    </cfRule>
  </conditionalFormatting>
  <conditionalFormatting sqref="K6:K51">
    <cfRule type="expression" priority="9" aboveAverage="0" equalAverage="0" bottom="0" percent="0" rank="0" text="" dxfId="17">
      <formula>AND($I6="Complete",$K6="")</formula>
    </cfRule>
    <cfRule type="expression" priority="10" aboveAverage="0" equalAverage="0" bottom="0" percent="0" rank="0" text="" dxfId="14">
      <formula>AND(OR($I6="Complete",$I6="Skipped"),$K6&lt;&gt;"")</formula>
    </cfRule>
  </conditionalFormatting>
  <conditionalFormatting sqref="L6:L51">
    <cfRule type="expression" priority="11" aboveAverage="0" equalAverage="0" bottom="0" percent="0" rank="0" text="" dxfId="17">
      <formula>AND($I6="Complete",$L6="")</formula>
    </cfRule>
    <cfRule type="expression" priority="12" aboveAverage="0" equalAverage="0" bottom="0" percent="0" rank="0" text="" dxfId="18">
      <formula>AND($I6="In Progress",$L6="")</formula>
    </cfRule>
  </conditionalFormatting>
  <conditionalFormatting sqref="M6:M51">
    <cfRule type="expression" priority="13" aboveAverage="0" equalAverage="0" bottom="0" percent="0" rank="0" text="" dxfId="17">
      <formula>AND($I6="Complete",$M6="")</formula>
    </cfRule>
    <cfRule type="expression" priority="14" aboveAverage="0" equalAverage="0" bottom="0" percent="0" rank="0" text="" dxfId="14">
      <formula>AND($I6="Complete",$M6&lt;&gt;"")</formula>
    </cfRule>
  </conditionalFormatting>
  <conditionalFormatting sqref="A6:S51">
    <cfRule type="expression" priority="15" aboveAverage="0" equalAverage="0" bottom="0" percent="0" rank="0" text="" dxfId="19">
      <formula>AND($M6&lt;&gt;"",$N6&gt;=5)</formula>
    </cfRule>
    <cfRule type="expression" priority="16" aboveAverage="0" equalAverage="0" bottom="0" percent="0" rank="0" text="" dxfId="19">
      <formula>AND($M6&lt;&gt;"",$N6&gt;=4)</formula>
    </cfRule>
    <cfRule type="expression" priority="17" aboveAverage="0" equalAverage="0" bottom="0" percent="0" rank="0" text="" dxfId="20">
      <formula>AND($M6&lt;&gt;"",$N6&gt;=3)</formula>
    </cfRule>
    <cfRule type="expression" priority="18" aboveAverage="0" equalAverage="0" bottom="0" percent="0" rank="0" text="" dxfId="20">
      <formula>AND($M6&lt;&gt;"",$N6&gt;=2)</formula>
    </cfRule>
    <cfRule type="expression" priority="19" aboveAverage="0" equalAverage="0" bottom="0" percent="0" rank="0" text="" dxfId="21">
      <formula>AND($M6&lt;&gt;"",$N6&gt;=1)</formula>
    </cfRule>
    <cfRule type="expression" priority="20" aboveAverage="0" equalAverage="0" bottom="0" percent="0" rank="0" text="" dxfId="22">
      <formula>AND($M6&lt;&gt;"",$N6&lt;=0)</formula>
    </cfRule>
  </conditionalFormatting>
  <conditionalFormatting sqref="N6:N51">
    <cfRule type="expression" priority="21" aboveAverage="0" equalAverage="0" bottom="0" percent="0" rank="0" text="" dxfId="23">
      <formula>AND($M6&lt;&gt;"",$N6&gt;=5)</formula>
    </cfRule>
    <cfRule type="expression" priority="22" aboveAverage="0" equalAverage="0" bottom="0" percent="0" rank="0" text="" dxfId="24">
      <formula>AND($M6&lt;&gt;"",$N6&gt;=3)</formula>
    </cfRule>
    <cfRule type="expression" priority="23" aboveAverage="0" equalAverage="0" bottom="0" percent="0" rank="0" text="" dxfId="25">
      <formula>AND($M6&lt;&gt;"",$N6&gt;=1)</formula>
    </cfRule>
    <cfRule type="expression" priority="24" aboveAverage="0" equalAverage="0" bottom="0" percent="0" rank="0" text="" dxfId="26">
      <formula>AND($M6&lt;&gt;"",$N6&lt;=0)</formula>
    </cfRule>
  </conditionalFormatting>
  <dataValidations count="3">
    <dataValidation allowBlank="true" errorStyle="stop" operator="between" prompt="Complete needs: sign-off name + report link + completed date" promptTitle="Status" showDropDown="false" showErrorMessage="false" showInputMessage="true" sqref="I6:I51" type="list">
      <formula1>"Not Started,In Progress,Blocked,Complete,Skipped"</formula1>
      <formula2>0</formula2>
    </dataValidation>
    <dataValidation allowBlank="true" errorStyle="stop" operator="between" prompt="Select team member" promptTitle="Sign Off" showDropDown="false" showErrorMessage="false" showInputMessage="true" sqref="K6:K51" type="list">
      <formula1>TeamMembers</formula1>
      <formula2>0</formula2>
    </dataValidation>
    <dataValidation allowBlank="true" error="Enter a valid date (YYYY-MM-DD)" errorStyle="stop" errorTitle="Invalid Date" operator="greaterThan" prompt="Type the completion date (YYYY-MM-DD)" promptTitle="Completed Date" showDropDown="false" showErrorMessage="true" showInputMessage="true" sqref="M6:M51" type="date">
      <formula1>2020-1-1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2026-02-04T20:26:05Z</dcterms:created>
  <dc:creator>openpyxl</dc:creator>
  <dc:description/>
  <dc:language>en-US</dc:language>
  <cp:lastModifiedBy/>
  <dcterms:modified xsi:type="dcterms:W3CDTF">2026-02-04T20:26:08Z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